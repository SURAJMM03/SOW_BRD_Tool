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bristleconeonline.sharepoint.com/sites/SolutionsConsultingAssetsPlaybooks/Playbooks and Project Artifacts/RFP Quality Gates/"/>
    </mc:Choice>
  </mc:AlternateContent>
  <xr:revisionPtr revIDLastSave="0" documentId="8_{B8DF66B4-0D3A-4D33-B8C9-F5D5516F1343}" xr6:coauthVersionLast="47" xr6:coauthVersionMax="47" xr10:uidLastSave="{00000000-0000-0000-0000-000000000000}"/>
  <bookViews>
    <workbookView xWindow="-120" yWindow="-120" windowWidth="20730" windowHeight="11040" tabRatio="1000" xr2:uid="{00000000-000D-0000-FFFF-FFFF00000000}"/>
  </bookViews>
  <sheets>
    <sheet name="Overview" sheetId="1" r:id="rId1"/>
    <sheet name="0 · Bid-No-Bid Qualification" sheetId="3" r:id="rId2"/>
    <sheet name="Pitch Checklist" sheetId="4" r:id="rId3"/>
    <sheet name="Summary and Scoring" sheetId="5" r:id="rId4"/>
    <sheet name="Orals &amp; Demo Readiness" sheetId="7" r:id="rId5"/>
    <sheet name="Win-Loss Debrief" sheetId="8" r:id="rId6"/>
    <sheet name="Asset Repository Log" sheetId="9" r:id="rId7"/>
  </sheets>
  <definedNames>
    <definedName name="_xlnm._FilterDatabase" localSheetId="2" hidden="1">'Pitch Checklist'!$B$1:$J$60</definedName>
    <definedName name="_xlnm.Print_Area" localSheetId="2">'Pitch Checklist'!$C$3:$J$43</definedName>
    <definedName name="_xlnm.Print_Titles" localSheetId="2">'Pitch Checklist'!$3:$3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47" i="4" l="1"/>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C18" i="5"/>
  <c r="F19" i="3"/>
  <c r="C27" i="3" s="1"/>
  <c r="D19" i="3"/>
  <c r="F18" i="3"/>
  <c r="F17" i="3"/>
  <c r="F16" i="3"/>
  <c r="F15" i="3"/>
  <c r="F14" i="3"/>
  <c r="F13" i="3"/>
  <c r="F12" i="3"/>
  <c r="F18" i="5" l="1"/>
  <c r="B2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4" authorId="0" shapeId="0" xr:uid="{00000000-0006-0000-03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Should we add engagement scope, timelines as a sections in the structure?</t>
        </r>
      </text>
    </comment>
  </commentList>
</comments>
</file>

<file path=xl/sharedStrings.xml><?xml version="1.0" encoding="utf-8"?>
<sst xmlns="http://schemas.openxmlformats.org/spreadsheetml/2006/main" count="614" uniqueCount="440">
  <si>
    <t>Bristlecone S&amp;C — Sales Enablement Pitch Toolkit</t>
  </si>
  <si>
    <t>Version 1.3  ·  Quality gates and process tools spanning the full sales cycle: Qualify → Discover → Propose → Orals → Close → Learn</t>
  </si>
  <si>
    <t>How to use this workbook</t>
  </si>
  <si>
    <t>This toolkit is a stage-gated set of checklists. Each tab is a gate at a different point in the pursuit. Work them in sequence — do not jump straight to the deck review.
1.  QUALIFY first.  Run the Bid / No-Bid scorecard before investing pursuit hours. A weak score is permission to walk away or to re-shape the deal.
2.  BUILD against the standard.  Use the Pitch Checklist &amp; sCORING tab while the deck is being written — not after.
3.  REHEARSE.  If the pursuit goes to orals or a demo, the Orals &amp; Demo Readiness tab is a separate gate. A strong written deck does not pass the orals gate by default.
4.  LEARN.  After every decision (win OR loss), complete the Win / Loss Debrief. Insights feed the Asset Repository and improve these templates.
5.  REUSE.  The Asset Repository Log governs what is in the sales-ready library and whether each asset is approved for external use.
Rating scales are enforced with dropdowns. Anything marked ❌ should carry a written action in the Comments column before the deck is submitted for review.</t>
  </si>
  <si>
    <t>What each tab is for</t>
  </si>
  <si>
    <t>Tab</t>
  </si>
  <si>
    <t>Stage / When to use</t>
  </si>
  <si>
    <t>Purpose</t>
  </si>
  <si>
    <t>0 · Bid-No-Bid Qualification</t>
  </si>
  <si>
    <t>Stage 1 — Signal &amp; Qualification.
Before committing pursuit resources.</t>
  </si>
  <si>
    <t>Weighted pursuit scorecard. Forces an honest, scored bid / no-bid decision across strategic fit, win probability, economics, and delivery risk. The cheapest proposal mistake is writing a great deck for a deal you should have declined.</t>
  </si>
  <si>
    <t>Pitch Checklist</t>
  </si>
  <si>
    <t>Stages 2 — Proposal / RFP &amp; Orals build.
Diagnostic / coaching review.</t>
  </si>
  <si>
    <t>The full quality rubric across 10 categories with a three-tier scale (Does Not Meet / Minimally Meets / Best Practice). Use for richer, developmental feedback and to coach contributors on the gap to best practice.</t>
  </si>
  <si>
    <t>Orals &amp; Demo Readiness</t>
  </si>
  <si>
    <t>Stage 3 — Oral Presentation &amp; Demo.
Use once a pursuit advances to orals.</t>
  </si>
  <si>
    <t>Treats orals as a delivery discipline, not a format toggle: rehearsal, room roles and choreography, Q&amp;A and objection handling, and demo / live-environment contingency.</t>
  </si>
  <si>
    <t>Win-Loss Debrief</t>
  </si>
  <si>
    <t>Stage 4 — Win / Loss Capture.
After every decision, win or lose.</t>
  </si>
  <si>
    <t>Structured debrief capturing why the deal was won or lost, what to repeat or fix, and routing of reusable outputs to the Asset Repository. This is the feedback loop that lets the toolkit get smarter over time.</t>
  </si>
  <si>
    <t>Asset Repository Log</t>
  </si>
  <si>
    <t>All stages — ongoing.
Maintained by the SE team.</t>
  </si>
  <si>
    <t>The index of the sales-ready library — case studies, bios, accelerators, PoVs. Tracks owner, last-refreshed date, and whether each asset is cleared (client-approved) for external use, so nothing unvetted reaches a client.</t>
  </si>
  <si>
    <t>Rating legend</t>
  </si>
  <si>
    <t>❌ Does Not Meet / Not Ready / Not Met</t>
  </si>
  <si>
    <t>⚠️ Minimally Meets / Partial</t>
  </si>
  <si>
    <t>✅ Best Practice / Client-Ready / Met</t>
  </si>
  <si>
    <t>Owner: Sales Excellence Team  ·  Maintain version control across all tabs  ·  v1.3</t>
  </si>
  <si>
    <t>Bid / No-Bid Qualification Scorecard</t>
  </si>
  <si>
    <t>Stage 1 — score the pursuit BEFORE committing resources. Be honest: a low score is permission to decline or re-shape the deal.</t>
  </si>
  <si>
    <t>Score each factor 1–5 (1 = poor / high risk, 5 = excellent / low risk) using the anchor in column C. Weighted scores total automatically. Use the recommendation band at the bottom to guide the decision. Any factor scored 1–2 should be discussed explicitly before proceeding.</t>
  </si>
  <si>
    <t>Pursuit Information</t>
  </si>
  <si>
    <t>Client / Opportunity</t>
  </si>
  <si>
    <t>Pursuit Lead</t>
  </si>
  <si>
    <t>Estimated Deal Value</t>
  </si>
  <si>
    <t>Submission Due Date</t>
  </si>
  <si>
    <t>Qualification Factors</t>
  </si>
  <si>
    <t>Factor</t>
  </si>
  <si>
    <t>Scoring guidance (1 = low / 5 = high)</t>
  </si>
  <si>
    <t>Weight</t>
  </si>
  <si>
    <t>Score
(1–5)</t>
  </si>
  <si>
    <t>Weighted</t>
  </si>
  <si>
    <t>Notes</t>
  </si>
  <si>
    <t>Strategic fit</t>
  </si>
  <si>
    <t>Alignment to our target industries, capabilities, and growth priorities.</t>
  </si>
  <si>
    <t>Win probability</t>
  </si>
  <si>
    <t>Relationship strength, incumbency, and our standing vs. likely competitors.</t>
  </si>
  <si>
    <t>Solution fit</t>
  </si>
  <si>
    <t>How well our offerings, accelerators, and references match the scope.</t>
  </si>
  <si>
    <t>Deal economics</t>
  </si>
  <si>
    <t>Revenue, margin quality, and follow-on / platform potential.</t>
  </si>
  <si>
    <t>Delivery risk</t>
  </si>
  <si>
    <t>Feasibility of scope, timeline, and our ability to staff and deliver.</t>
  </si>
  <si>
    <t>Client relationship</t>
  </si>
  <si>
    <t>Access to decision-makers and quality of the buying relationship.</t>
  </si>
  <si>
    <t>Resource availability</t>
  </si>
  <si>
    <t>Capacity of SMEs and pursuit team to mount a competitive bid.</t>
  </si>
  <si>
    <t>TOTAL</t>
  </si>
  <si>
    <t>Weighted score (1.00 – 5.00)</t>
  </si>
  <si>
    <t>Recommendation Bands</t>
  </si>
  <si>
    <t>4.0 – 5.0</t>
  </si>
  <si>
    <t>BID — strong pursuit. Commit resources and run the full proposal process.</t>
  </si>
  <si>
    <t>3.0 – 3.9</t>
  </si>
  <si>
    <t>CONDITIONAL — bid only if specific gaps (named below) can be closed or the deal re-shaped.</t>
  </si>
  <si>
    <t>Below 3.0</t>
  </si>
  <si>
    <t>NO-BID — decline or refer. Document rationale and preserve the relationship for a better-fit opportunity.</t>
  </si>
  <si>
    <t>Decision</t>
  </si>
  <si>
    <t>Calculated score</t>
  </si>
  <si>
    <t>Decision (Bid / Conditional / No-Bid)</t>
  </si>
  <si>
    <t>If Conditional: gaps to close</t>
  </si>
  <si>
    <t>Decision owner &amp; date</t>
  </si>
  <si>
    <t>Scoring: ✅ Best Practice = 2  |  ⚠️ Minimally Meets = 1  |  ❌ Does Not Meet = 0  |  Not Applicable = excluded. Set the rating on each criterion in the 'Pitch Scorecard' tab; scores roll up here automatically. Green rows = newly recommended categories.</t>
  </si>
  <si>
    <t>Category</t>
  </si>
  <si>
    <t>Checklist Description</t>
  </si>
  <si>
    <t>Criteria</t>
  </si>
  <si>
    <t>❌ Does Not Meet</t>
  </si>
  <si>
    <t>⚠️ Minimally Meets</t>
  </si>
  <si>
    <t>✅ Best Practice</t>
  </si>
  <si>
    <t>Evaluation Rating</t>
  </si>
  <si>
    <t>Score (0–2)</t>
  </si>
  <si>
    <t>Comments / Feedback</t>
  </si>
  <si>
    <t>STRUCTURE</t>
  </si>
  <si>
    <t>The deck includes all essential sections to ensure a compelling, well-structured proposal:
− Executive Summary
− Our Understanding (Client’s Challenges and Needs)
− Bristlecone’s Point of View (PoV)
− Proposed Solution (Approach, Methodology, Key Components)
− Business Case / Value Delivered (Expected Impact, ROI)
− Examples &amp; Case Studies (Relevant Success Stories)
− Accelerators &amp; Differentiators (Proprietary Tools, Frameworks)
− Value Proposition (Pricing, Investment Details)
− Why Bristlecone? (Key Reasons We’re the Best Partner)
− Additional Value-Added Services (Recommendations Beyond the Ask that may be Differentiators)</t>
  </si>
  <si>
    <t>CLIENT-SPECIFIC RELEVANCE</t>
  </si>
  <si>
    <t>Generic content that could apply to any client.</t>
  </si>
  <si>
    <t>Some customization, but still largely templated.</t>
  </si>
  <si>
    <t>Fully tailored to the client, incorporating industry, domain, and solution-specific details.</t>
  </si>
  <si>
    <t xml:space="preserve">&lt;enter observations / recommendations from the review&gt; </t>
  </si>
  <si>
    <t>THOUGHT LEADERSHIP</t>
  </si>
  <si>
    <t>No additional recommendations beyond the RFP scope.</t>
  </si>
  <si>
    <t>Some extra insights, but not well-developed.</t>
  </si>
  <si>
    <t>Provides a strong Bristlecone PoV, proactively recommending relevant services based on expertise.</t>
  </si>
  <si>
    <t>EXECUTIVE SUMMARY EFFECTIVENESS</t>
  </si>
  <si>
    <t>No executive summary, or it does not stand alone.</t>
  </si>
  <si>
    <t>Summary present but descriptive rather than persuasive; buries the value.</t>
  </si>
  <si>
    <t>Compelling, stand-alone exec summary leading with client value, outcomes, and why Bristlecone.</t>
  </si>
  <si>
    <t>NARRATIVE FLOW &amp; COHERENCE</t>
  </si>
  <si>
    <t>Sections feel disconnected; no logical storyline.</t>
  </si>
  <si>
    <t>Logical order but transitions/threading of win themes are weak.</t>
  </si>
  <si>
    <t>Sections build a coherent, client-centered storyline from problem to value.</t>
  </si>
  <si>
    <t>CUSTOMER CENTRICITY</t>
  </si>
  <si>
    <t>The proposal demonstrates a deep understanding of the client’s strategy, current situation, and specific requirements by:
− Clearly connecting the proposed solution to the client’s strategic priorities and business objectives.
− Framing the narrative from the client’s perspective, not just Bristlecone’s.
− Grounding recommendations in industry and domain-specific context to enhance credibility.</t>
  </si>
  <si>
    <t>CLIENT-SPECIFIC INSIGHTS</t>
  </si>
  <si>
    <t>Generic content with little to no client or industry specificity.</t>
  </si>
  <si>
    <t>Largely standardized deck with minimal tailoring (e.g., just rewording the client’s RFP).</t>
  </si>
  <si>
    <t>Goes beyond restating client needs – demonstrates strategic understanding of their business, industry, and challenges.</t>
  </si>
  <si>
    <t>SOLUTION ALIGNMENT</t>
  </si>
  <si>
    <t>Weak or no connection between the solution and the client’s strategic priorities.</t>
  </si>
  <si>
    <t>Some linkage, but lacks depth in explaining how Bristlecone’s approach uniquely addresses the client’s needs.</t>
  </si>
  <si>
    <t>Solution is clearly mapped to the client’s goals, with strong rationale and supporting details.</t>
  </si>
  <si>
    <t>COMPELLING STORYTELLING</t>
  </si>
  <si>
    <t>Proposal is written from Bristlecone’s perspective, not the client’s.</t>
  </si>
  <si>
    <t>Some elements of client perspective but not consistently applied.</t>
  </si>
  <si>
    <t>The story is structured around the client’s challenges and goals, making them the hero of the narrative.</t>
  </si>
  <si>
    <t>THOUGHT LEADERSHIP &amp; EXPERTISE</t>
  </si>
  <si>
    <t>The proposal effectively showcases Bristlecone’s expertise and credibility across all relevant capabilities required for the scope of work, including:
Industry Knowledge: Deep understanding of sector-specific challenges and opportunities.
Technology Knowledge: Expertise in relevant package applications and partner technologies.
AI Knowledge: Demonstrated understanding of AI-driven solutions and their applications (if applicable).
Domain Knowledge: Specialization in key areas such as Planning, Procurement, Operations, and Manufacturing.
Program Management: Proven methodologies for project implementation and execution.
Change Management: Ability to drive adoption, transformation, and impact.
Additionally, the proposal should include a Bristlecone Point of View (PoV) on:
− Industry Trends and Challenges
− AI Opportunities and Innovation
− The Evolving SCM Landscape
Where applicable, thought leadership should be reinforced with data, case studies, and public citations to build credibility.</t>
  </si>
  <si>
    <t>EXPERTISE COVERAGE</t>
  </si>
  <si>
    <t>Key capabilities missing or weakly represented.</t>
  </si>
  <si>
    <t>Lists expertise areas but lacks depth or compelling examples.</t>
  </si>
  <si>
    <t>Fully covers all expertise areas with detailed supporting content.</t>
  </si>
  <si>
    <t>PROOF &amp; THOUGHT LEADERSHIP</t>
  </si>
  <si>
    <t>Relies on generic statements without proof points.</t>
  </si>
  <si>
    <t>Some examples included, but lacks depth, maturity, or industry citations.</t>
  </si>
  <si>
    <t>Uses strong case studies, public citations, and thought leadership insights to reinforce credibility.</t>
  </si>
  <si>
    <t>POINT OF VIEW (POV)</t>
  </si>
  <si>
    <t>No Bristlecone PoV or generic industry statements.</t>
  </si>
  <si>
    <t>PoV included but lacks specificity or unique perspective.</t>
  </si>
  <si>
    <t>Strong, well-defined Bristlecone PoV with insights, recommendations, and supporting data.</t>
  </si>
  <si>
    <t>DEMONSTRATIONS &amp; EVIDENCE</t>
  </si>
  <si>
    <t>No demos or tangible proof where relevant.</t>
  </si>
  <si>
    <t>Some evidence included, but not fully developed.</t>
  </si>
  <si>
    <t>Where applicable, includes live demos, interactive elements, or detailed use cases.</t>
  </si>
  <si>
    <t>PARTNERSHIPS</t>
  </si>
  <si>
    <t>For deals involving technology or service partnerships, the proposal should clearly articulate:
− The breadth and depth of the partnership.
− The value of the partnership to the success of the program.
− Examples of past successful partnerships, aligned to the deal.
− If the partnership is new or early-stage, the proposal must define a clear path to successful delivery.
− Joint case studies should be included, where appropriate, to demonstrate proven collaboration and execution.
If no external partnerships are relevant to the proposal, this section is marked N/A.</t>
  </si>
  <si>
    <t>PARTNERSHIP VALUE DEFINITION</t>
  </si>
  <si>
    <t>Standard, generic content with no tie to the deal.</t>
  </si>
  <si>
    <t>Includes partnership details, but lacks strong alignment to this specific opportunity.</t>
  </si>
  <si>
    <t>Clearly defines how the partnership enhances program success with tailored insights.</t>
  </si>
  <si>
    <t>Not Applicable</t>
  </si>
  <si>
    <t>PROOF OF SUCCESS</t>
  </si>
  <si>
    <t>No examples or only vague references to past success.</t>
  </si>
  <si>
    <t>Some success stories included, but lacks depth or relevance.</t>
  </si>
  <si>
    <t>Robust, well-aligned case studies showcasing joint success with partners.</t>
  </si>
  <si>
    <t>PATH TO SUCCESS FOR NEW RELATIONSHIPS</t>
  </si>
  <si>
    <t>No roadmap for execution with an early-stage partner.</t>
  </si>
  <si>
    <t>Some consideration given, but lacks details on collaboration and risk mitigation.</t>
  </si>
  <si>
    <t>Well-defined success path, including roles, responsibilities, and joint execution strategies.</t>
  </si>
  <si>
    <t>COLLABORATION FACTORS</t>
  </si>
  <si>
    <t>No discussion of how Bristlecone, the partner, and the client will collaborate.</t>
  </si>
  <si>
    <t>Some reference to collaboration, but not fully developed.</t>
  </si>
  <si>
    <t>Clearly defines critical success factors for seamless partnership execution in this specific deal.</t>
  </si>
  <si>
    <t>TEAM</t>
  </si>
  <si>
    <t>The proposal should clearly define the Day 1 / Delivery Team, ensuring:
− Key roles and responsibilities are identified.
− Bios are included for all key personnel, tailored to highlight their fit for the proposed role and relevance to the client’s needs.
− Client participation is well-defined, outlining expected roles and effort required at each key phase of the program.
− A RACI matrix (Responsible, Accountable, Consulted, Informed) is included for key deliverables, ensuring clarity in ownership and execution.
− FTE requirements by phase are specified at an actionable level (weekly/monthly) where applicable.</t>
  </si>
  <si>
    <t>KEY PERSONNEL &amp; ROLES</t>
  </si>
  <si>
    <t>Key roles are missing or loosely defined.</t>
  </si>
  <si>
    <t>Full list of key roles included but lacks strong contextualization.</t>
  </si>
  <si>
    <t>Key roles fully defined with clear alignment to the deal.</t>
  </si>
  <si>
    <t>BIOS &amp; FIT FOR ROLE</t>
  </si>
  <si>
    <t>Generic bios with no relevance to this engagement.</t>
  </si>
  <si>
    <t>Bios included but not tailored to emphasize fit.</t>
  </si>
  <si>
    <t>Bios are client-specific, highlighting direct relevance to the project.</t>
  </si>
  <si>
    <t>CLIENT PARTICIPATION DEFINITION</t>
  </si>
  <si>
    <t>No mention of client engagement expectations.</t>
  </si>
  <si>
    <t>Some client requirements outlined, but not detailed.</t>
  </si>
  <si>
    <t>Client roles, responsibilities, and effort levels are well-defined across all phases.</t>
  </si>
  <si>
    <t>RACI &amp; EXECUTION READINESS</t>
  </si>
  <si>
    <t>RACI missing or incomplete. FTE commitments not defined.</t>
  </si>
  <si>
    <t>RACI included but lacks detail, and FTE estimates are not at an executable level.</t>
  </si>
  <si>
    <t>Fully developed RACI, with clear ownership and detailed FTE commitments by phase.</t>
  </si>
  <si>
    <t>TEAM CONTINUITY / KEY-PERSON COMMITMENT</t>
  </si>
  <si>
    <t>No assurance the named team will deliver.</t>
  </si>
  <si>
    <t>Named team shown but no commitment to continuity (bait-and-switch risk).</t>
  </si>
  <si>
    <t>Explicit commitment that the proposed A-team will deliver, with continuity safeguards.</t>
  </si>
  <si>
    <t>BRANDING</t>
  </si>
  <si>
    <t>The proposal maintains high professional and brand standards, ensuring:
− Proper use of Bristlecone (or client-required) templates and layouts, including accurate logos.
− Clean, visually appealing design aligned with Bristlecone’s branding guidelines.
− Effective use of slide layouts to enhance storytelling rather than just presenting information.
− High-quality, impactful visuals that support and strengthen the message.
− Storytelling reinforces Bristlecone’s position as an SCM and AI expert, with clear differentiation.
− External validation included, such as analyst reports, awards, recognitions, published thought leadership, and earned media, to reinforce Bristlecone’s credibility.
− Spelling and grammar have been reviewed, ensuring a polished and professional final product (Hint: Use ChatGPT for proofreading).
Material should also be optimized for the intended format:
− Written Submission → More detailed, text-heavy content.
− Oral Presentation → More visuals, lighter on text, engaging delivery.</t>
  </si>
  <si>
    <t>TEMPLATE &amp; BRAND COMPLIANCE</t>
  </si>
  <si>
    <t>Template is misaligned with Bristlecone or client standards.</t>
  </si>
  <si>
    <t>Template is used correctly, but branding inconsistencies exist.</t>
  </si>
  <si>
    <t>Fully compliant with Bristlecone standards, visually polished, and professional.</t>
  </si>
  <si>
    <t>STORYTELLING &amp; POSITIONING</t>
  </si>
  <si>
    <t>Bristlecone’s expertise is unclear or weakly presented.</t>
  </si>
  <si>
    <t>Expertise is communicated but relies on ‘telling’ rather than strong proof points.</t>
  </si>
  <si>
    <t>Clear, compelling storytelling that reinforces Bristlecone’s AI-first, consulting-led SCM leadership.</t>
  </si>
  <si>
    <t>USE OF VISUALS</t>
  </si>
  <si>
    <t>Poor-quality or irrelevant images that do not enhance storytelling.</t>
  </si>
  <si>
    <t>Some visuals included but not fully optimized for impact.</t>
  </si>
  <si>
    <t>Powerful, high-quality images and visuals that enhance and support messaging.</t>
  </si>
  <si>
    <t>EXTERNAL VALIDATION &amp; PROOF</t>
  </si>
  <si>
    <t>No citations, analyst reports, awards, or third-party credibility sources.</t>
  </si>
  <si>
    <t>Some external content included, but lacks strong validation.</t>
  </si>
  <si>
    <t>Strong supporting materials (analyst reports, awards, recognitions, thought leadership) reinforcing credibility.</t>
  </si>
  <si>
    <t>SPELLING, GRAMMAR &amp; READABILITY</t>
  </si>
  <si>
    <t>Multiple errors in spelling, grammar, or formatting.</t>
  </si>
  <si>
    <t>Mostly clean but may have minor errors or inconsistencies.</t>
  </si>
  <si>
    <t>Fully proofed, polished, and easy to read with no distracting errors.</t>
  </si>
  <si>
    <t>FORMAT OPTIMIZATION</t>
  </si>
  <si>
    <t>Not adjusted for intended delivery format (text-heavy presentation or too visual for a written submission).</t>
  </si>
  <si>
    <t>Some consideration given, but not fully optimized for audience engagement.</t>
  </si>
  <si>
    <t>Well-structured for intended use – concise and visual for presentations, detailed for written submission.</t>
  </si>
  <si>
    <t>EXECUTIVE COMMITMENT</t>
  </si>
  <si>
    <t>The proposal effectively conveys Bristlecone’s commitment to the success of the program by:
− Clearly articulating executive sponsorship and involvement from leadership.
− Defining resource commitments in quantifiable terms (e.g., dedicated FTEs, SMEs, workshops, governance structure).
− Ensuring pricing strategy discussions have factored in executive participation, SME availability, and overall engagement level.
− Highlighting any outcome-based opportunities, including estimated impact and shared success models.
− Scaling commitment appropriately based on the deal size and strategic importance to both Bristlecone and the client.</t>
  </si>
  <si>
    <t>CLARITY OF EXECUTIVE INVOLVEMENT</t>
  </si>
  <si>
    <t>Executive commitment is missing or vaguely referenced.</t>
  </si>
  <si>
    <t>Commitment is mentioned but lacks depth or quantification.</t>
  </si>
  <si>
    <t>Clearly defined executive participation, including named sponsors and their roles with specific and measurable commitment.</t>
  </si>
  <si>
    <t>RESOURCE &amp; SME COMMITMENT</t>
  </si>
  <si>
    <t>No mention of resource commitments.</t>
  </si>
  <si>
    <t>Some resource commitment is included, but not quantified.</t>
  </si>
  <si>
    <t>Quantifiable commitment (e.g., specific FTEs, SMEs, workshops) with clear alignment to program success.</t>
  </si>
  <si>
    <t>PRICING &amp; STRATEGIC ALIGNMENT</t>
  </si>
  <si>
    <t>No consideration of pricing strategy in relation to commitment.</t>
  </si>
  <si>
    <t>Some consideration given to pricing strategy in relation to commitment.</t>
  </si>
  <si>
    <t>Executive and resource commitments are fully factored into pricing strategy.</t>
  </si>
  <si>
    <t>OUTCOME-BASED OPPORTUNITIES</t>
  </si>
  <si>
    <t>No mention of outcome-based models or value estimation.</t>
  </si>
  <si>
    <t>Some outcome-based opportunities included, but not clearly defined.</t>
  </si>
  <si>
    <t>Estimated outcomes and shared success models are presented with supporting rationale.</t>
  </si>
  <si>
    <t>STRATEGIC DEAL ALIGNMENT</t>
  </si>
  <si>
    <t xml:space="preserve">	Commitment feels generic and not scaled to the deal’s importance.</t>
  </si>
  <si>
    <t>Some alignment, but lacks depth in demonstrating mutual value.</t>
  </si>
  <si>
    <t>Commitment is scaled appropriately, ensuring a win-win for both Bristlecone and the client.</t>
  </si>
  <si>
    <t>REFERENCES &amp; TESTIMONIALS</t>
  </si>
  <si>
    <t>The proposal includes high-quality, relevant references that go beyond a basic logo slide, ensuring:
− Deeply relevant case studies showcasing similar or applicable work.
− Executive testimonials or quotes that reinforce key differentiators and value generated (not just generic praise like "worked hard" or "delivered on time and on budget").
− Clear business value articulation, with quantified benefits demonstrating impact.
− Alignment with partnerships, where applicable, to showcase successful collaboration.</t>
  </si>
  <si>
    <t>CASE STUDY DEPTH &amp; RELEVANCE</t>
  </si>
  <si>
    <t>Only includes a generic industry/technology logo slide.</t>
  </si>
  <si>
    <t>Case studies included but lack strong alignment or customization to the deal.</t>
  </si>
  <si>
    <t>Case studies are highly relevant, directly aligned with the deal scope.</t>
  </si>
  <si>
    <t>REFERENCE VALUE PROOF</t>
  </si>
  <si>
    <t>No quantified outcome in any cited reference or case study.</t>
  </si>
  <si>
    <t>References cite business impact but without specific metrics or client attribution.</t>
  </si>
  <si>
    <t>Each cited reference includes a quantified, client-attributed business outcome (e.g., '22% reduction in inventory' at [Client]).</t>
  </si>
  <si>
    <t>TESTIMONIALS &amp; EXECUTIVE QUOTES</t>
  </si>
  <si>
    <t>No quotes or only generic statements that don’t reinforce differentiators.</t>
  </si>
  <si>
    <t>Quotes included but not directly tied to key differentiators.</t>
  </si>
  <si>
    <t>Strong, strategic quotes that reinforce Bristlecone’s unique value in this engagement.</t>
  </si>
  <si>
    <t>PARTNERSHIP VALIDATION (IF APPLICABLE)</t>
  </si>
  <si>
    <t>No mention of joint success with a relevant partner.</t>
  </si>
  <si>
    <t>Some references to partnerships, but lacks clear proof of success.</t>
  </si>
  <si>
    <t>Demonstrates strong collaboration and partnership success where applicable.</t>
  </si>
  <si>
    <t>SOLUTION</t>
  </si>
  <si>
    <t>The proposed solution is comprehensive, tailored to the client, and integrates People, Process, and Technology holistically. It clearly defines scope: geographies, organizations, functional modules, customizations, number of users, and deployment approach.
People: Organizational Change Management (OCM), governance framework, training for program team and end users.
Technology: Functional and technical scope — custom developments, integrations, testing, cutover, data migrations, and deployment strategy (Waterfall, Agile, or Global Template).
Process: Process assessments, KPIs, benchmarking, documentation, re-engineering, and operating model recommendations.
AI Differentatiors, Assets, Agents to enhance delivery, automation, insights, and decision-making
Business Value: A clear connection between how the solution is executed and the measurable outcomes it delivers.</t>
  </si>
  <si>
    <t>SOLUTION COMPLETENESS</t>
  </si>
  <si>
    <t>Major components (People, Process, or Technology) are missing or weakly defined.</t>
  </si>
  <si>
    <t>Covers all three areas but with minimal tailoring; could be reused for any client.</t>
  </si>
  <si>
    <t>Fully developed across People, Process, and Technology with clear AI integration and client-specific tailoring.</t>
  </si>
  <si>
    <t>CRITICAL SUCCESS FACTORS</t>
  </si>
  <si>
    <t>No mention of key success drivers for implementation.</t>
  </si>
  <si>
    <t>Some general success factors included, but not linked to the client’s situation.</t>
  </si>
  <si>
    <t>Success factors are well-defined and contextualized to the client’s specific transformation journey.</t>
  </si>
  <si>
    <t>BUSINESS VALUE DEFINITION</t>
  </si>
  <si>
    <t xml:space="preserve">	No clear connection between solution and expected outcomes.</t>
  </si>
  <si>
    <t>Some business value mentioned, but weak connection between "how" and "why."</t>
  </si>
  <si>
    <t>Business value is well-defined and directly linked to each component of the solution.</t>
  </si>
  <si>
    <t>METHODOLOGY DEFINITION</t>
  </si>
  <si>
    <t>Methodology is missing or vaguely described.</t>
  </si>
  <si>
    <t>Methodology is included but lacks differentiation or rationale.</t>
  </si>
  <si>
    <t>Clear, well-defined methodology with a Bristlecone PoV on why it’s the best fit.</t>
  </si>
  <si>
    <t>METHODOLOGY, TOOLS &amp; ACCELERATORS</t>
  </si>
  <si>
    <t>The proposal clearly defines Bristlecone's recommended methodology along with relevant tools and accelerators, ensuring a comprehensive approach across People, Process, and Technology at every phase of the program.
Methodology: The recommended approach is well-documented and, where applicable, serves as a differentiator (e.g., Global Template vs. Localized Deployments). A Bristlecone Point of View (PoV) is included to justify the methodology choice.
Tools &amp; Accelerators: The proposal identifies all relevant tools across the entire program lifecycle. These may be partner-provided, but the proposal should clarify Bristlecone’s experience with these tools and any enhancements or customizations we have developed.
Proof &amp; Value Quantification: Specific Bristlecone accelerators should be backed by quantified benefits, such as time savings, KPI improvements, or efficiency gains. For high-impact accelerators, case studies or example clients should be referenced to demonstrate real-world value.
Comprehensive Coverage: The proposal ensures that no major methodology, tool, or accelerator is missing from the defined scope. If partner-specific tools are critical to program success, they should be explicitly included.</t>
  </si>
  <si>
    <t>TOOLS &amp; ACCELERATORS COVERAGE</t>
  </si>
  <si>
    <t>Tools and accelerators are missing or incomplete.</t>
  </si>
  <si>
    <t>Tools and accelerators are listed but lack examples or differentiation.</t>
  </si>
  <si>
    <t>Comprehensive list covering all phases of the program, including relevant partner tools.</t>
  </si>
  <si>
    <t>BRISTLECONE DEFINITION</t>
  </si>
  <si>
    <t>No mention of Bristlecone’s unique enhancements or experience.</t>
  </si>
  <si>
    <t>Some differentiation included but lacks clarity on investments or enhancements.</t>
  </si>
  <si>
    <t>Strong positioning of Bristlecone’s differentiators, including proprietary enhancements.</t>
  </si>
  <si>
    <t>PROOF &amp; QUANTIFICATION</t>
  </si>
  <si>
    <t>No supporting evidence or quantified benefits.</t>
  </si>
  <si>
    <t>Some case studies or proof points, but lacks quantified value.</t>
  </si>
  <si>
    <t>Case studies, sample outputs, or KPI impact estimates demonstrating measurable value.</t>
  </si>
  <si>
    <t>AI &amp; INNOVATION</t>
  </si>
  <si>
    <t>AI positioned as a core, embedded differentiator — not a buzzword. Articulates an AI strategy mapped to client outcomes, names specific AI accelerators/tools (and Bristlecone enhancements), quantifies AI-driven value, and offers a forward innovation roadmap reflecting Bristlecone's AI-first, consulting-led SCM positioning.</t>
  </si>
  <si>
    <t>AI STRATEGY &amp; EMBEDDING</t>
  </si>
  <si>
    <t>AI absent or superficial.</t>
  </si>
  <si>
    <t>AI referenced but not integrated into the solution.</t>
  </si>
  <si>
    <t>AI seamlessly embedded across the solution, mapped to specific client outcomes.</t>
  </si>
  <si>
    <t>AI ACCELERATORS &amp; TOOLS</t>
  </si>
  <si>
    <t>No AI tools named.</t>
  </si>
  <si>
    <t>Tools named but no Bristlecone differentiation.</t>
  </si>
  <si>
    <t>Specific AI accelerators/tools detailed, including Bristlecone's proprietary enhancements.</t>
  </si>
  <si>
    <t>AI PROOF &amp; OUTCOMES</t>
  </si>
  <si>
    <t>No evidence of AI value.</t>
  </si>
  <si>
    <t>Claims made without quantification.</t>
  </si>
  <si>
    <t>Quantified AI outcomes (efficiency, accuracy, speed) backed by examples/case studies.</t>
  </si>
  <si>
    <t>INNOVATION &amp; FUTURE ROADMAP</t>
  </si>
  <si>
    <t>No forward view.</t>
  </si>
  <si>
    <t>Generic innovation statements.</t>
  </si>
  <si>
    <t>Clear innovation roadmap showing evolving value beyond the initial scope.</t>
  </si>
  <si>
    <t>COMMERCIALS, PRICING &amp; INVESTMENT</t>
  </si>
  <si>
    <t>Presents a transparent, well-structured commercial model: clear pricing and cost breakdown, assumptions/exclusions, payment milestones, pricing options where relevant (T&amp;M / fixed / outcome-based), connected to the value delivered.</t>
  </si>
  <si>
    <t>PRICING TRANSPARENCY</t>
  </si>
  <si>
    <t>Pricing missing or opaque (lump sum, no breakdown).</t>
  </si>
  <si>
    <t>Price given but limited breakdown or unclear basis of estimate.</t>
  </si>
  <si>
    <t>Transparent cost breakdown by phase/workstream/role with clear basis of estimate.</t>
  </si>
  <si>
    <t>COMMERCIAL MODEL &amp; OPTIONS</t>
  </si>
  <si>
    <t>Single rigid price, no options.</t>
  </si>
  <si>
    <t>One model; limited flexibility.</t>
  </si>
  <si>
    <t>Clear model with options/tiers (T&amp;M, fixed, outcome-based) suited to client risk appetite.</t>
  </si>
  <si>
    <t>ASSUMPTIONS &amp; EXCLUSIONS</t>
  </si>
  <si>
    <t>None stated; scope-for-price unclear.</t>
  </si>
  <si>
    <t>Some assumptions noted but incomplete.</t>
  </si>
  <si>
    <t>Assumptions, exclusions, and change mechanism clearly defined to protect both parties.</t>
  </si>
  <si>
    <t>VALUE-FOR-MONEY / ROI LINKAGE</t>
  </si>
  <si>
    <t>Price not linked to value.</t>
  </si>
  <si>
    <t>Loose linkage between cost and benefit.</t>
  </si>
  <si>
    <t>Investment clearly justified against quantified business value / ROI.</t>
  </si>
  <si>
    <t>COMPETITIVE DIFFERENTIATION / WIN THEMES</t>
  </si>
  <si>
    <t>Establishes clear win themes and differentiators, positioning Bristlecone advantageously against likely alternatives and reinforcing why Bristlecone is uniquely the right partner for this specific client and deal.</t>
  </si>
  <si>
    <t>WIN THEMES</t>
  </si>
  <si>
    <t>No discernible win themes.</t>
  </si>
  <si>
    <t>Themes implied but not explicit or consistent.</t>
  </si>
  <si>
    <t>3–4 explicit, client-resonant win themes threaded through the proposal.</t>
  </si>
  <si>
    <t>COMPETITIVE POSITIONING</t>
  </si>
  <si>
    <t>No differentiation vs. alternatives.</t>
  </si>
  <si>
    <t>Generic strengths, not comparative.</t>
  </si>
  <si>
    <t>Clear, evidence-backed differentiation against likely competitors/alternatives.</t>
  </si>
  <si>
    <t>WHY BRISTLECONE</t>
  </si>
  <si>
    <t>Generic or missing.</t>
  </si>
  <si>
    <t>Stated but not compelling or specific.</t>
  </si>
  <si>
    <t>Compelling, client-specific case for Bristlecone tied to proven outcomes.</t>
  </si>
  <si>
    <t>RISKS, ASSUMPTIONS &amp; MITIGATION</t>
  </si>
  <si>
    <t>Proactively surfaces key delivery, technical, organizational and commercial risks, with mitigation strategies, dependencies and assumptions — demonstrating delivery maturity and credibility.</t>
  </si>
  <si>
    <t>RISK IDENTIFICATION</t>
  </si>
  <si>
    <t>MITIGATION PLANNING</t>
  </si>
  <si>
    <t>DEPENDENCIES &amp; ASSUMPTIONS</t>
  </si>
  <si>
    <t>PROPOSAL REVIEW — SCORECARD SUMMARY</t>
  </si>
  <si>
    <t>Weight %</t>
  </si>
  <si>
    <t>Avg Score (0-2)</t>
  </si>
  <si>
    <t>Score %</t>
  </si>
  <si>
    <t>Weighted Score %</t>
  </si>
  <si>
    <t>Overall weighted readiness score</t>
  </si>
  <si>
    <t>Notes:  (1) If a whole category is Not Applicable for a deal (e.g., PARTNERSHIPS or REFERENCE on an informal pitch), set its Weight % to 0 and redistribute across the others so weights still total 100%.  (2) The detail tab's 'Add' / 'Remove' columns capture the recommended structural changes from this review.  (3) Weights are a starting suggestion — tune them to your deal's priorities.</t>
  </si>
  <si>
    <t>REHEARSAL &amp; MESSAGE</t>
  </si>
  <si>
    <t>The team is rehearsed and the spoken narrative — not just the slides — is sharp:
− At least one full timed dry-run completed; transitions and timing are smooth.
− Opening and close land the win themes in the client’s language.
− Every presenter can deliver the story without reading slides.
− Content is cut to fit the time slot with margin for Q&amp;A.</t>
  </si>
  <si>
    <t>DRY-RUN COMPLETED</t>
  </si>
  <si>
    <t>No rehearsal; first run will be in front of the client.</t>
  </si>
  <si>
    <t>Informal walk-through only; timing and transitions untested.</t>
  </si>
  <si>
    <t>At least one full timed rehearsal; smooth transitions and on-time delivery.</t>
  </si>
  <si>
    <t>NARRATIVE COMMAND</t>
  </si>
  <si>
    <t>Presenters read slides; story does not carry.</t>
  </si>
  <si>
    <t>Story mostly clear but uneven across presenters.</t>
  </si>
  <si>
    <t>Every presenter owns the narrative and ties it to the client’s priorities.</t>
  </si>
  <si>
    <t>TIME MANAGEMENT</t>
  </si>
  <si>
    <t>Content overruns the slot; no time for Q&amp;A.</t>
  </si>
  <si>
    <t>Roughly fits but no margin.</t>
  </si>
  <si>
    <t>Comfortably fits the slot with deliberate time reserved for Q&amp;A.</t>
  </si>
  <si>
    <t>ROOM &amp; ROLES</t>
  </si>
  <si>
    <t>Logistics and choreography are deliberate:
− Speaking roles and handoffs are assigned; everyone knows their part and cue.
− A lead/quarterback manages flow, time, and Q&amp;A routing.
− Audience, decision-makers, and their likely concerns are known in advance.
− Logistics confirmed: room/virtual platform, tech check, materials, backups.</t>
  </si>
  <si>
    <t>ROLES &amp; CHOREOGRAPHY</t>
  </si>
  <si>
    <t>Roles undefined; handoffs will be improvised.</t>
  </si>
  <si>
    <t>Roles assigned but handoffs unpracticed.</t>
  </si>
  <si>
    <t>Clear roles, cues, and rehearsed handoffs; a designated lead manages flow.</t>
  </si>
  <si>
    <t>AUDIENCE INTELLIGENCE</t>
  </si>
  <si>
    <t>No knowledge of who is in the room or what they care about.</t>
  </si>
  <si>
    <t>Partial picture of the panel.</t>
  </si>
  <si>
    <t>Decision-makers, influencers, and their concerns mapped and addressed.</t>
  </si>
  <si>
    <t>LOGISTICS &amp; TECH CHECK</t>
  </si>
  <si>
    <t>Setup unconfirmed; high risk of a tech failure.</t>
  </si>
  <si>
    <t>Basics arranged but no rehearsal in the actual environment.</t>
  </si>
  <si>
    <t>Platform, AV, materials, and backups confirmed and tested in advance.</t>
  </si>
  <si>
    <t>Q&amp;A &amp; DEMO CONTINGENCY</t>
  </si>
  <si>
    <t>The team is ready for hard questions and live-demo risk:
− Likely and tough questions are anticipated with prepared, aligned answers.
− Objection-handling is rehearsed; the team knows who fields what.
− If demoing: the demo is scripted, data is prepared, and it has been run end-to-end.
− A fallback (recording, screenshots, narrated walk-through) exists if the live demo fails.</t>
  </si>
  <si>
    <t>Q&amp;A PREPAREDNESS</t>
  </si>
  <si>
    <t>No anticipation of questions; answers will be ad hoc.</t>
  </si>
  <si>
    <t>Some questions considered but answers not aligned across the team.</t>
  </si>
  <si>
    <t>Tough questions anticipated with prepared, consistent answers and clear ownership.</t>
  </si>
  <si>
    <t>OBJECTION HANDLING</t>
  </si>
  <si>
    <t>No plan for pushback or pricing/scope challenges.</t>
  </si>
  <si>
    <t>General approach but unrehearsed.</t>
  </si>
  <si>
    <t>Objection responses rehearsed; team aligned on who responds and how.</t>
  </si>
  <si>
    <t>DEMO READINESS &amp; FALLBACK</t>
  </si>
  <si>
    <t>Demo unscripted/untested, or no fallback if it fails.</t>
  </si>
  <si>
    <t>Demo prepared but not run end-to-end, or fallback is weak.</t>
  </si>
  <si>
    <t>Demo scripted, data ready, run end-to-end, with a tested fallback if live fails.</t>
  </si>
  <si>
    <t>WIN / LOSS DEBRIEF  ·  Multi-Deal Log</t>
  </si>
  <si>
    <t>Complete after EVERY decision (win or loss), ideally within two weeks.  Add one column per deal — each column is a separate RFP / pursuit.  Feeds the Asset Repository and improves templates.</t>
  </si>
  <si>
    <t>FIELD</t>
  </si>
  <si>
    <t>Deal 1</t>
  </si>
  <si>
    <t>Deal 2</t>
  </si>
  <si>
    <t>Deal 3</t>
  </si>
  <si>
    <t>Deal 4</t>
  </si>
  <si>
    <t>Deal 5</t>
  </si>
  <si>
    <t>Deal 6</t>
  </si>
  <si>
    <t>DEAL SNAPSHOT</t>
  </si>
  <si>
    <t>Outcome</t>
  </si>
  <si>
    <t>Deal value &amp; type</t>
  </si>
  <si>
    <t>Competitors</t>
  </si>
  <si>
    <t>Pursuit lead &amp; debrief date</t>
  </si>
  <si>
    <t>WHY WE WON / LOST</t>
  </si>
  <si>
    <t>Primary decision driver</t>
  </si>
  <si>
    <t>Client-stated reasons</t>
  </si>
  <si>
    <t>What set us apart (or didn’t)</t>
  </si>
  <si>
    <t>Price vs. value</t>
  </si>
  <si>
    <t>WHAT TO REPEAT</t>
  </si>
  <si>
    <t>Strongest assets / moments</t>
  </si>
  <si>
    <t>Reusable content</t>
  </si>
  <si>
    <t>WHAT TO FIX</t>
  </si>
  <si>
    <t>Gaps &amp; misses</t>
  </si>
  <si>
    <t>Process friction</t>
  </si>
  <si>
    <t>Template / checklist changes</t>
  </si>
  <si>
    <t>ACTIONS &amp; ROUTING</t>
  </si>
  <si>
    <t>Repository updates (owner / due)</t>
  </si>
  <si>
    <t>Template / checklist updates (owner / due)</t>
  </si>
  <si>
    <t>Relationship follow-up</t>
  </si>
  <si>
    <t>The index of the sales-ready library. Nothing reaches a client unless External-Use Approved = Yes.</t>
  </si>
  <si>
    <t>Asset ID</t>
  </si>
  <si>
    <t>Asset Name</t>
  </si>
  <si>
    <t>Type</t>
  </si>
  <si>
    <t>Industry / Domain</t>
  </si>
  <si>
    <t>Linked Client / Deal</t>
  </si>
  <si>
    <t>Quantified Value / Proof</t>
  </si>
  <si>
    <t>Owner</t>
  </si>
  <si>
    <t>Last Refreshed</t>
  </si>
  <si>
    <t>External-Use Approved?</t>
  </si>
  <si>
    <t>Storage Link / Location</t>
  </si>
  <si>
    <t>CS-001</t>
  </si>
  <si>
    <t>&lt;case study title&gt;</t>
  </si>
  <si>
    <t>Case Study</t>
  </si>
  <si>
    <t>&lt;industry / domain&gt;</t>
  </si>
  <si>
    <t>&lt;client / deal&gt;</t>
  </si>
  <si>
    <t>&lt;e.g. 18% inventory reduction&gt;</t>
  </si>
  <si>
    <t>&lt;owner&gt;</t>
  </si>
  <si>
    <t>&lt;date&gt;</t>
  </si>
  <si>
    <t>&lt;link&gt;</t>
  </si>
  <si>
    <t>BIO-001</t>
  </si>
  <si>
    <t>&lt;consultant name&gt; bio</t>
  </si>
  <si>
    <t>Bio</t>
  </si>
  <si>
    <t>&lt;domain&gt;</t>
  </si>
  <si>
    <t>&lt;reusable&gt;</t>
  </si>
  <si>
    <t>&lt;role relevance&gt;</t>
  </si>
  <si>
    <t>ACC-001</t>
  </si>
  <si>
    <t>&lt;accelerator name&gt;</t>
  </si>
  <si>
    <t>Accelerator</t>
  </si>
  <si>
    <t>&lt;e.g. 30% faster cutover&gt;</t>
  </si>
  <si>
    <t>POV-001</t>
  </si>
  <si>
    <t>&lt;point of view / whitepaper&gt;</t>
  </si>
  <si>
    <t>PoV / Thought Leadership</t>
  </si>
  <si>
    <t>&lt;industry&gt;</t>
  </si>
  <si>
    <t>&lt;citation strength&gt;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</si>
</sst>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font>
      <sz val="11"/>
      <color theme="1"/>
      <name val="Aptos Narrow"/>
      <family val="2"/>
      <charset val="1"/>
    </font>
    <font>
      <b/>
      <sz val="18"/>
      <color rgb="FFFFFFFF"/>
      <name val="Aptos Narrow"/>
      <family val="2"/>
      <charset val="1"/>
    </font>
    <font>
      <i/>
      <sz val="10"/>
      <color rgb="FF000000"/>
      <name val="Aptos Narrow"/>
      <family val="2"/>
      <charset val="1"/>
    </font>
    <font>
      <b/>
      <sz val="11"/>
      <color rgb="FFFFFFFF"/>
      <name val="Aptos Narrow"/>
      <family val="2"/>
      <charset val="1"/>
    </font>
    <font>
      <sz val="11"/>
      <color rgb="FF000000"/>
      <name val="Aptos Narrow"/>
      <family val="2"/>
      <charset val="1"/>
    </font>
    <font>
      <b/>
      <sz val="11"/>
      <color rgb="FF000000"/>
      <name val="Aptos Narrow"/>
      <family val="2"/>
      <charset val="1"/>
    </font>
    <font>
      <b/>
      <sz val="11"/>
      <color rgb="FF9C0006"/>
      <name val="Aptos Narrow"/>
      <family val="2"/>
      <charset val="1"/>
    </font>
    <font>
      <b/>
      <sz val="11"/>
      <color rgb="FF9C5700"/>
      <name val="Aptos Narrow"/>
      <family val="2"/>
      <charset val="1"/>
    </font>
    <font>
      <b/>
      <sz val="11"/>
      <color rgb="FF006100"/>
      <name val="Aptos Narrow"/>
      <family val="2"/>
      <charset val="1"/>
    </font>
    <font>
      <i/>
      <sz val="9"/>
      <color rgb="FF808080"/>
      <name val="Aptos Narrow"/>
      <family val="2"/>
      <charset val="1"/>
    </font>
    <font>
      <b/>
      <sz val="10"/>
      <color rgb="FFFFFFFF"/>
      <name val="Arial"/>
      <family val="2"/>
      <charset val="1"/>
    </font>
    <font>
      <b/>
      <sz val="16"/>
      <color rgb="FFFFFFFF"/>
      <name val="Aptos Narrow"/>
      <family val="2"/>
      <charset val="1"/>
    </font>
    <font>
      <sz val="11"/>
      <color rgb="FF006100"/>
      <name val="Aptos Narrow"/>
      <family val="2"/>
      <charset val="1"/>
    </font>
    <font>
      <sz val="11"/>
      <color rgb="FF9C5700"/>
      <name val="Aptos Narrow"/>
      <family val="2"/>
      <charset val="1"/>
    </font>
    <font>
      <sz val="11"/>
      <color rgb="FF9C0006"/>
      <name val="Aptos Narrow"/>
      <family val="2"/>
      <charset val="1"/>
    </font>
    <font>
      <b/>
      <sz val="11"/>
      <color theme="1"/>
      <name val="Aptos Narrow"/>
      <family val="2"/>
      <charset val="1"/>
    </font>
    <font>
      <b/>
      <sz val="11"/>
      <color theme="0"/>
      <name val="Aptos Narrow"/>
      <family val="2"/>
      <charset val="1"/>
    </font>
    <font>
      <sz val="9"/>
      <color rgb="FF1A1A1A"/>
      <name val="Arial"/>
      <family val="2"/>
      <charset val="1"/>
    </font>
    <font>
      <b/>
      <sz val="11"/>
      <color rgb="FFFFFFFF"/>
      <name val="Arial"/>
      <family val="2"/>
      <charset val="1"/>
    </font>
    <font>
      <sz val="10"/>
      <name val="Arial"/>
      <family val="2"/>
    </font>
    <font>
      <i/>
      <sz val="9"/>
      <color rgb="FF1A1A1A"/>
      <name val="Arial"/>
      <family val="2"/>
      <charset val="1"/>
    </font>
    <font>
      <sz val="10"/>
      <color rgb="FF1A1A1A"/>
      <name val="Arial"/>
      <family val="2"/>
      <charset val="1"/>
    </font>
    <font>
      <b/>
      <sz val="9"/>
      <color rgb="FF538135"/>
      <name val="Arial"/>
      <family val="2"/>
      <charset val="1"/>
    </font>
    <font>
      <b/>
      <sz val="12"/>
      <color rgb="FF1F3864"/>
      <name val="Arial"/>
      <family val="2"/>
      <charset val="1"/>
    </font>
    <font>
      <i/>
      <sz val="9"/>
      <color rgb="FF004D40"/>
      <name val="Arial"/>
      <charset val="1"/>
    </font>
    <font>
      <b/>
      <sz val="9"/>
      <color rgb="FFFFFFFF"/>
      <name val="Arial"/>
      <charset val="1"/>
    </font>
    <font>
      <b/>
      <sz val="10"/>
      <color rgb="FFFFFFFF"/>
      <name val="Arial"/>
      <charset val="1"/>
    </font>
    <font>
      <b/>
      <sz val="9"/>
      <color rgb="FF000000"/>
      <name val="Arial"/>
      <charset val="1"/>
    </font>
    <font>
      <sz val="9"/>
      <color rgb="FF595959"/>
      <name val="Arial"/>
      <charset val="1"/>
    </font>
    <font>
      <i/>
      <sz val="11"/>
      <color rgb="FF808080"/>
      <name val="Aptos Narrow"/>
      <family val="2"/>
      <charset val="1"/>
    </font>
    <font>
      <b/>
      <sz val="14"/>
      <color rgb="FFFFFFFF"/>
      <name val="Aptos Narrow"/>
      <family val="2"/>
    </font>
    <font>
      <b/>
      <sz val="13"/>
      <color rgb="FFFFFFFF"/>
      <name val="Aptos Narrow"/>
      <family val="2"/>
    </font>
    <font>
      <i/>
      <sz val="10"/>
      <color rgb="FF1A1A1A"/>
      <name val="Arial"/>
      <family val="2"/>
      <charset val="1"/>
    </font>
  </fonts>
  <fills count="25">
    <fill>
      <patternFill patternType="none"/>
    </fill>
    <fill>
      <patternFill patternType="gray125"/>
    </fill>
    <fill>
      <patternFill patternType="solid">
        <fgColor rgb="FF0E2841"/>
        <bgColor rgb="FF1F2D4E"/>
      </patternFill>
    </fill>
    <fill>
      <patternFill patternType="solid">
        <fgColor rgb="FF156082"/>
        <bgColor rgb="FF2E5496"/>
      </patternFill>
    </fill>
    <fill>
      <patternFill patternType="solid">
        <fgColor rgb="FFFFFFFF"/>
        <bgColor rgb="FFF4F4F4"/>
      </patternFill>
    </fill>
    <fill>
      <patternFill patternType="solid">
        <fgColor rgb="FFF4F4F4"/>
        <bgColor rgb="FFF2F2F2"/>
      </patternFill>
    </fill>
    <fill>
      <patternFill patternType="solid">
        <fgColor rgb="FFFFC7CE"/>
        <bgColor rgb="FFFFE7E7"/>
      </patternFill>
    </fill>
    <fill>
      <patternFill patternType="solid">
        <fgColor rgb="FFFFEB9C"/>
        <bgColor rgb="FFFFF2CC"/>
      </patternFill>
    </fill>
    <fill>
      <patternFill patternType="solid">
        <fgColor rgb="FFC6EFCE"/>
        <bgColor rgb="FFE2EFDA"/>
      </patternFill>
    </fill>
    <fill>
      <patternFill patternType="solid">
        <fgColor rgb="FF1F2D4E"/>
        <bgColor rgb="FF0E2841"/>
      </patternFill>
    </fill>
    <fill>
      <patternFill patternType="solid">
        <fgColor rgb="FFFFF2CC"/>
        <bgColor rgb="FFFFE7E7"/>
      </patternFill>
    </fill>
    <fill>
      <patternFill patternType="solid">
        <fgColor rgb="FFD9E1F2"/>
        <bgColor rgb="FFE8E8E8"/>
      </patternFill>
    </fill>
    <fill>
      <patternFill patternType="solid">
        <fgColor rgb="FF2E4DA1"/>
        <bgColor rgb="FF2E5496"/>
      </patternFill>
    </fill>
    <fill>
      <patternFill patternType="solid">
        <fgColor rgb="FFF2F2F2"/>
        <bgColor rgb="FFF4F4F4"/>
      </patternFill>
    </fill>
    <fill>
      <patternFill patternType="solid">
        <fgColor rgb="FFE8E8E8"/>
        <bgColor rgb="FFE2EFDA"/>
      </patternFill>
    </fill>
    <fill>
      <patternFill patternType="solid">
        <fgColor theme="1"/>
        <bgColor rgb="FF1A1A1A"/>
      </patternFill>
    </fill>
    <fill>
      <patternFill patternType="solid">
        <fgColor rgb="FF1F3864"/>
        <bgColor rgb="FF1F2D4E"/>
      </patternFill>
    </fill>
    <fill>
      <patternFill patternType="solid">
        <fgColor rgb="FF2E5496"/>
        <bgColor rgb="FF2E4DA1"/>
      </patternFill>
    </fill>
    <fill>
      <patternFill patternType="solid">
        <fgColor rgb="FFE0F2F1"/>
        <bgColor rgb="FFE2EFDA"/>
      </patternFill>
    </fill>
    <fill>
      <patternFill patternType="solid">
        <fgColor rgb="FF37474F"/>
        <bgColor rgb="FF375623"/>
      </patternFill>
    </fill>
    <fill>
      <patternFill patternType="solid">
        <fgColor rgb="FF004D40"/>
        <bgColor rgb="FF006100"/>
      </patternFill>
    </fill>
    <fill>
      <patternFill patternType="solid">
        <fgColor rgb="FF1A237E"/>
        <bgColor rgb="FF1F2D4E"/>
      </patternFill>
    </fill>
    <fill>
      <patternFill patternType="solid">
        <fgColor rgb="FF880E4F"/>
        <bgColor rgb="FF800080"/>
      </patternFill>
    </fill>
    <fill>
      <patternFill patternType="solid">
        <fgColor rgb="FFFFC7CE"/>
        <bgColor rgb="FFE8E8E8"/>
      </patternFill>
    </fill>
    <fill>
      <patternFill patternType="solid">
        <fgColor rgb="FFC6EFCE"/>
        <bgColor rgb="FFE8E8E8"/>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BFBFBF"/>
      </left>
      <right/>
      <top style="thin">
        <color rgb="FFBFBFBF"/>
      </top>
      <bottom/>
      <diagonal/>
    </border>
    <border>
      <left style="medium">
        <color rgb="FF808080"/>
      </left>
      <right style="thin">
        <color rgb="FFBFBFBF"/>
      </right>
      <top style="medium">
        <color rgb="FF808080"/>
      </top>
      <bottom style="thin">
        <color rgb="FFBFBFBF"/>
      </bottom>
      <diagonal/>
    </border>
    <border>
      <left style="thin">
        <color rgb="FFBFBFBF"/>
      </left>
      <right style="thin">
        <color rgb="FFBFBFBF"/>
      </right>
      <top style="medium">
        <color rgb="FF808080"/>
      </top>
      <bottom style="thin">
        <color rgb="FFBFBFBF"/>
      </bottom>
      <diagonal/>
    </border>
    <border>
      <left style="medium">
        <color rgb="FF808080"/>
      </left>
      <right style="medium">
        <color rgb="FF808080"/>
      </right>
      <top style="medium">
        <color rgb="FF808080"/>
      </top>
      <bottom style="thin">
        <color rgb="FFBFBFBF"/>
      </bottom>
      <diagonal/>
    </border>
    <border>
      <left style="thin">
        <color rgb="FFBFBFBF"/>
      </left>
      <right style="medium">
        <color rgb="FF808080"/>
      </right>
      <top style="medium">
        <color rgb="FF808080"/>
      </top>
      <bottom style="thin">
        <color rgb="FFBFBFBF"/>
      </bottom>
      <diagonal/>
    </border>
    <border>
      <left style="medium">
        <color rgb="FF808080"/>
      </left>
      <right style="medium">
        <color rgb="FF808080"/>
      </right>
      <top style="thin">
        <color rgb="FFBFBFBF"/>
      </top>
      <bottom style="thin">
        <color rgb="FFBFBFBF"/>
      </bottom>
      <diagonal/>
    </border>
    <border>
      <left style="thin">
        <color rgb="FFBFBFBF"/>
      </left>
      <right style="medium">
        <color rgb="FF808080"/>
      </right>
      <top style="thin">
        <color rgb="FFBFBFBF"/>
      </top>
      <bottom style="thin">
        <color rgb="FFBFBFBF"/>
      </bottom>
      <diagonal/>
    </border>
    <border>
      <left style="thin">
        <color auto="1"/>
      </left>
      <right style="thin">
        <color auto="1"/>
      </right>
      <top/>
      <bottom style="thin">
        <color auto="1"/>
      </bottom>
      <diagonal/>
    </border>
  </borders>
  <cellStyleXfs count="4">
    <xf numFmtId="0" fontId="0" fillId="0" borderId="0"/>
    <xf numFmtId="0" fontId="14" fillId="23" borderId="0"/>
    <xf numFmtId="0" fontId="13" fillId="7" borderId="0"/>
    <xf numFmtId="0" fontId="12" fillId="24" borderId="0"/>
  </cellStyleXfs>
  <cellXfs count="114">
    <xf numFmtId="0" fontId="0" fillId="0" borderId="0" xfId="0"/>
    <xf numFmtId="0" fontId="3"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0" fillId="0" borderId="3" xfId="0" applyBorder="1"/>
    <xf numFmtId="0" fontId="0" fillId="0" borderId="4" xfId="0" applyBorder="1"/>
    <xf numFmtId="0" fontId="6" fillId="6"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0" fillId="0" borderId="1" xfId="0" applyBorder="1" applyAlignment="1">
      <alignment horizontal="lef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9" fontId="4" fillId="0" borderId="1" xfId="0" applyNumberFormat="1" applyFont="1" applyBorder="1" applyAlignment="1">
      <alignment horizontal="center" vertical="center" wrapText="1"/>
    </xf>
    <xf numFmtId="0" fontId="5" fillId="10" borderId="1" xfId="0" applyFont="1" applyFill="1" applyBorder="1" applyAlignment="1">
      <alignment horizontal="center" vertical="center" wrapText="1"/>
    </xf>
    <xf numFmtId="2" fontId="4" fillId="0" borderId="1" xfId="0" applyNumberFormat="1" applyFont="1" applyBorder="1" applyAlignment="1">
      <alignment horizontal="center" vertical="center" wrapText="1"/>
    </xf>
    <xf numFmtId="0" fontId="3" fillId="2" borderId="1" xfId="0" applyFont="1" applyFill="1" applyBorder="1"/>
    <xf numFmtId="9" fontId="3" fillId="2" borderId="1" xfId="0" applyNumberFormat="1" applyFont="1" applyFill="1" applyBorder="1" applyAlignment="1">
      <alignment horizontal="center" vertical="center" wrapText="1"/>
    </xf>
    <xf numFmtId="0" fontId="0" fillId="2" borderId="1" xfId="0" applyFill="1" applyBorder="1"/>
    <xf numFmtId="2" fontId="3" fillId="2"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13" fillId="7" borderId="5" xfId="0" applyFont="1" applyFill="1" applyBorder="1" applyAlignment="1">
      <alignment horizontal="left" vertical="center" wrapText="1"/>
    </xf>
    <xf numFmtId="0" fontId="12" fillId="8" borderId="5" xfId="0" applyFont="1" applyFill="1" applyBorder="1" applyAlignment="1">
      <alignment horizontal="left" vertical="center" wrapText="1"/>
    </xf>
    <xf numFmtId="0" fontId="10" fillId="17" borderId="1" xfId="0" applyFont="1" applyFill="1" applyBorder="1" applyAlignment="1">
      <alignment horizontal="center" vertical="center" wrapText="1"/>
    </xf>
    <xf numFmtId="0" fontId="21" fillId="13" borderId="1" xfId="0" applyFont="1" applyFill="1" applyBorder="1" applyAlignment="1">
      <alignment horizontal="left" vertical="center" wrapText="1"/>
    </xf>
    <xf numFmtId="9" fontId="21" fillId="13" borderId="1" xfId="0" applyNumberFormat="1" applyFont="1" applyFill="1" applyBorder="1" applyAlignment="1">
      <alignment horizontal="center" vertical="center" wrapText="1"/>
    </xf>
    <xf numFmtId="2" fontId="21" fillId="13" borderId="1" xfId="0" applyNumberFormat="1" applyFont="1" applyFill="1" applyBorder="1" applyAlignment="1">
      <alignment horizontal="center" vertical="center" wrapText="1"/>
    </xf>
    <xf numFmtId="164" fontId="21" fillId="13" borderId="1" xfId="0" applyNumberFormat="1" applyFont="1" applyFill="1" applyBorder="1" applyAlignment="1">
      <alignment horizontal="center" vertical="center" wrapText="1"/>
    </xf>
    <xf numFmtId="0" fontId="21" fillId="4" borderId="1" xfId="0" applyFont="1" applyFill="1" applyBorder="1" applyAlignment="1">
      <alignment horizontal="left" vertical="center" wrapText="1"/>
    </xf>
    <xf numFmtId="9" fontId="21" fillId="4" borderId="1" xfId="0" applyNumberFormat="1" applyFont="1" applyFill="1" applyBorder="1" applyAlignment="1">
      <alignment horizontal="center" vertical="center" wrapText="1"/>
    </xf>
    <xf numFmtId="2" fontId="21" fillId="4" borderId="1" xfId="0" applyNumberFormat="1" applyFont="1" applyFill="1" applyBorder="1" applyAlignment="1">
      <alignment horizontal="center" vertical="center" wrapText="1"/>
    </xf>
    <xf numFmtId="164" fontId="21" fillId="4" borderId="1" xfId="0" applyNumberFormat="1" applyFont="1" applyFill="1" applyBorder="1" applyAlignment="1">
      <alignment horizontal="center" vertical="center" wrapText="1"/>
    </xf>
    <xf numFmtId="0" fontId="18" fillId="16" borderId="1" xfId="0" applyFont="1" applyFill="1" applyBorder="1" applyAlignment="1">
      <alignment horizontal="left" vertical="center" wrapText="1"/>
    </xf>
    <xf numFmtId="9" fontId="18" fillId="16" borderId="1" xfId="0" applyNumberFormat="1" applyFont="1" applyFill="1" applyBorder="1" applyAlignment="1">
      <alignment horizontal="center" vertical="center" wrapText="1"/>
    </xf>
    <xf numFmtId="0" fontId="18" fillId="16" borderId="1" xfId="0" applyFont="1" applyFill="1" applyBorder="1" applyAlignment="1">
      <alignment horizontal="center" vertical="center" wrapText="1"/>
    </xf>
    <xf numFmtId="164" fontId="18" fillId="16" borderId="1" xfId="0" applyNumberFormat="1" applyFont="1" applyFill="1" applyBorder="1" applyAlignment="1">
      <alignment horizontal="center" vertical="center" wrapText="1"/>
    </xf>
    <xf numFmtId="0" fontId="5" fillId="14" borderId="9" xfId="0" applyFont="1" applyFill="1" applyBorder="1" applyAlignment="1">
      <alignment horizontal="left" vertical="center" wrapText="1"/>
    </xf>
    <xf numFmtId="0" fontId="14" fillId="6" borderId="8" xfId="0" applyFont="1" applyFill="1" applyBorder="1" applyAlignment="1">
      <alignment horizontal="left" vertical="center" wrapText="1"/>
    </xf>
    <xf numFmtId="0" fontId="13" fillId="7" borderId="8" xfId="0" applyFont="1" applyFill="1" applyBorder="1" applyAlignment="1">
      <alignment horizontal="left" vertical="center" wrapText="1"/>
    </xf>
    <xf numFmtId="0" fontId="12" fillId="8" borderId="8" xfId="0" applyFont="1" applyFill="1" applyBorder="1" applyAlignment="1">
      <alignment horizontal="left" vertical="center" wrapText="1"/>
    </xf>
    <xf numFmtId="0" fontId="4" fillId="0" borderId="8" xfId="0" applyFont="1" applyBorder="1" applyAlignment="1">
      <alignment horizontal="center" vertical="center" wrapText="1"/>
    </xf>
    <xf numFmtId="0" fontId="4" fillId="14" borderId="10" xfId="0" applyFont="1" applyFill="1" applyBorder="1" applyAlignment="1">
      <alignment horizontal="left" vertical="center" wrapText="1"/>
    </xf>
    <xf numFmtId="0" fontId="5" fillId="14" borderId="11" xfId="0" applyFont="1" applyFill="1" applyBorder="1" applyAlignment="1">
      <alignment horizontal="left" vertical="center" wrapText="1"/>
    </xf>
    <xf numFmtId="0" fontId="4" fillId="0" borderId="1" xfId="0" applyFont="1" applyBorder="1" applyAlignment="1">
      <alignment horizontal="center" vertical="center" wrapText="1"/>
    </xf>
    <xf numFmtId="0" fontId="4" fillId="14" borderId="12" xfId="0" applyFont="1" applyFill="1" applyBorder="1" applyAlignment="1">
      <alignment horizontal="left" vertical="center" wrapText="1"/>
    </xf>
    <xf numFmtId="0" fontId="25" fillId="9" borderId="1" xfId="0" applyFont="1" applyFill="1" applyBorder="1" applyAlignment="1">
      <alignment horizontal="center" vertical="center"/>
    </xf>
    <xf numFmtId="0" fontId="25" fillId="12" borderId="1" xfId="0" applyFont="1" applyFill="1" applyBorder="1" applyAlignment="1">
      <alignment horizontal="center" vertical="center"/>
    </xf>
    <xf numFmtId="0" fontId="0" fillId="13" borderId="1" xfId="0" applyFill="1" applyBorder="1"/>
    <xf numFmtId="0" fontId="27" fillId="11" borderId="1" xfId="0" applyFont="1" applyFill="1" applyBorder="1" applyAlignment="1">
      <alignment horizontal="left" vertical="top" wrapText="1"/>
    </xf>
    <xf numFmtId="0" fontId="28" fillId="4" borderId="1" xfId="0" applyFont="1" applyFill="1" applyBorder="1" applyAlignment="1">
      <alignment horizontal="left" vertical="top" wrapText="1"/>
    </xf>
    <xf numFmtId="0" fontId="29" fillId="0" borderId="1" xfId="0" applyFont="1" applyBorder="1" applyAlignment="1">
      <alignment horizontal="left" vertical="center" wrapText="1"/>
    </xf>
    <xf numFmtId="0" fontId="14" fillId="23" borderId="5" xfId="1" applyBorder="1" applyAlignment="1">
      <alignment horizontal="left" vertical="center" wrapText="1"/>
    </xf>
    <xf numFmtId="0" fontId="13" fillId="7" borderId="5" xfId="2" applyBorder="1" applyAlignment="1">
      <alignment horizontal="left" vertical="center" wrapText="1"/>
    </xf>
    <xf numFmtId="0" fontId="12" fillId="24" borderId="5" xfId="3" applyBorder="1" applyAlignment="1">
      <alignment horizontal="left" vertical="center" wrapText="1"/>
    </xf>
    <xf numFmtId="0" fontId="0" fillId="0" borderId="5" xfId="0" applyBorder="1" applyAlignment="1">
      <alignment vertical="center" wrapText="1"/>
    </xf>
    <xf numFmtId="0" fontId="0" fillId="0" borderId="5" xfId="0" applyBorder="1" applyAlignment="1">
      <alignment vertical="center"/>
    </xf>
    <xf numFmtId="0" fontId="16" fillId="15" borderId="5" xfId="0" applyFont="1" applyFill="1" applyBorder="1" applyAlignment="1">
      <alignment vertical="center" wrapText="1"/>
    </xf>
    <xf numFmtId="0" fontId="16" fillId="15" borderId="5" xfId="0" applyFont="1" applyFill="1" applyBorder="1" applyAlignment="1">
      <alignment horizontal="left" vertical="center" wrapText="1"/>
    </xf>
    <xf numFmtId="0" fontId="16" fillId="15" borderId="5" xfId="0" applyFont="1" applyFill="1" applyBorder="1" applyAlignment="1">
      <alignment horizontal="center" vertical="center" wrapText="1"/>
    </xf>
    <xf numFmtId="0" fontId="0" fillId="0" borderId="5" xfId="0" applyBorder="1" applyAlignment="1">
      <alignment horizontal="left" vertical="center"/>
    </xf>
    <xf numFmtId="0" fontId="0" fillId="14" borderId="5" xfId="0" applyFill="1" applyBorder="1" applyAlignment="1">
      <alignment horizontal="left" vertical="center" wrapText="1"/>
    </xf>
    <xf numFmtId="0" fontId="15" fillId="14" borderId="5" xfId="0" applyFont="1" applyFill="1" applyBorder="1" applyAlignment="1">
      <alignment horizontal="left" vertical="center" wrapText="1"/>
    </xf>
    <xf numFmtId="0" fontId="0" fillId="0" borderId="5" xfId="0" applyBorder="1" applyAlignment="1">
      <alignment horizontal="center" vertical="center" wrapText="1"/>
    </xf>
    <xf numFmtId="0" fontId="15" fillId="0" borderId="5" xfId="0" applyFont="1" applyBorder="1" applyAlignment="1">
      <alignment vertical="center" wrapText="1"/>
    </xf>
    <xf numFmtId="0" fontId="0" fillId="0" borderId="5" xfId="0" applyBorder="1" applyAlignment="1">
      <alignment horizontal="left" vertical="center" wrapText="1"/>
    </xf>
    <xf numFmtId="0" fontId="15" fillId="0" borderId="5" xfId="0" applyFont="1" applyBorder="1" applyAlignment="1">
      <alignment horizontal="left" vertical="center" wrapText="1"/>
    </xf>
    <xf numFmtId="0" fontId="17" fillId="4" borderId="5" xfId="0" applyFont="1" applyFill="1" applyBorder="1" applyAlignment="1">
      <alignment horizontal="left" vertical="top" wrapText="1"/>
    </xf>
    <xf numFmtId="0" fontId="15" fillId="0" borderId="13" xfId="0" applyFont="1" applyBorder="1" applyAlignment="1">
      <alignment vertical="center" wrapText="1"/>
    </xf>
    <xf numFmtId="0" fontId="0" fillId="0" borderId="13" xfId="0" applyBorder="1" applyAlignment="1">
      <alignment horizontal="left" vertical="center" wrapText="1"/>
    </xf>
    <xf numFmtId="0" fontId="0" fillId="0" borderId="13" xfId="0" applyBorder="1" applyAlignment="1">
      <alignment horizontal="center" vertical="center" wrapText="1"/>
    </xf>
    <xf numFmtId="9" fontId="21" fillId="0" borderId="1" xfId="0" applyNumberFormat="1" applyFont="1" applyBorder="1" applyAlignment="1">
      <alignment horizontal="center" vertical="center" wrapText="1"/>
    </xf>
    <xf numFmtId="2" fontId="21" fillId="0" borderId="1" xfId="0" applyNumberFormat="1" applyFont="1" applyBorder="1" applyAlignment="1">
      <alignment horizontal="center" vertical="center" wrapText="1"/>
    </xf>
    <xf numFmtId="164" fontId="21" fillId="0" borderId="1" xfId="0" applyNumberFormat="1" applyFont="1" applyBorder="1" applyAlignment="1">
      <alignment horizontal="center" vertical="center" wrapText="1"/>
    </xf>
    <xf numFmtId="0" fontId="22"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2" fillId="0" borderId="0" xfId="0" applyFont="1" applyAlignment="1">
      <alignment horizontal="left" vertical="center" wrapText="1"/>
    </xf>
    <xf numFmtId="0" fontId="3" fillId="3" borderId="1" xfId="0" applyFont="1" applyFill="1" applyBorder="1" applyAlignment="1">
      <alignment horizontal="left" vertical="center" wrapText="1"/>
    </xf>
    <xf numFmtId="0" fontId="4" fillId="0" borderId="2" xfId="0" applyFont="1" applyBorder="1" applyAlignment="1">
      <alignment horizontal="left" vertical="top" wrapText="1"/>
    </xf>
    <xf numFmtId="0" fontId="7" fillId="7"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1" xfId="0" applyBorder="1" applyAlignment="1">
      <alignment horizontal="left" vertical="center" wrapText="1"/>
    </xf>
    <xf numFmtId="0" fontId="12" fillId="8"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2" fontId="5" fillId="0" borderId="1" xfId="0" applyNumberFormat="1" applyFont="1" applyBorder="1" applyAlignment="1">
      <alignment horizontal="left" vertical="center" wrapText="1"/>
    </xf>
    <xf numFmtId="0" fontId="15" fillId="0" borderId="5" xfId="0" applyFont="1" applyBorder="1" applyAlignment="1">
      <alignment vertical="center" wrapText="1"/>
    </xf>
    <xf numFmtId="0" fontId="0" fillId="0" borderId="5" xfId="0" applyBorder="1" applyAlignment="1">
      <alignment horizontal="left" vertical="center" wrapText="1"/>
    </xf>
    <xf numFmtId="0" fontId="15" fillId="14" borderId="5" xfId="0" applyFont="1" applyFill="1" applyBorder="1" applyAlignment="1">
      <alignment vertical="center" wrapText="1"/>
    </xf>
    <xf numFmtId="0" fontId="0" fillId="14" borderId="5" xfId="0" applyFill="1" applyBorder="1" applyAlignment="1">
      <alignment horizontal="left" vertical="center" wrapText="1"/>
    </xf>
    <xf numFmtId="0" fontId="1" fillId="2" borderId="5" xfId="0" applyFont="1" applyFill="1" applyBorder="1" applyAlignment="1">
      <alignment horizontal="center" vertical="center" wrapText="1"/>
    </xf>
    <xf numFmtId="0" fontId="32" fillId="13" borderId="5" xfId="0" applyFont="1" applyFill="1" applyBorder="1" applyAlignment="1">
      <alignment horizontal="left" vertical="center" wrapText="1"/>
    </xf>
    <xf numFmtId="0" fontId="15" fillId="14" borderId="5" xfId="0" applyFont="1" applyFill="1" applyBorder="1" applyAlignment="1">
      <alignment horizontal="center" vertical="center" wrapText="1"/>
    </xf>
    <xf numFmtId="0" fontId="30" fillId="16" borderId="2" xfId="0" applyFont="1" applyFill="1" applyBorder="1" applyAlignment="1">
      <alignment horizontal="center" vertical="center" wrapText="1"/>
    </xf>
    <xf numFmtId="0" fontId="23" fillId="11" borderId="2" xfId="0" applyFont="1" applyFill="1" applyBorder="1" applyAlignment="1">
      <alignment horizontal="center" vertical="center" wrapText="1"/>
    </xf>
    <xf numFmtId="0" fontId="20" fillId="4" borderId="6" xfId="0" applyFont="1" applyFill="1" applyBorder="1" applyAlignment="1">
      <alignment horizontal="left" vertical="top" wrapText="1"/>
    </xf>
    <xf numFmtId="0" fontId="5" fillId="14" borderId="7" xfId="0" applyFont="1" applyFill="1" applyBorder="1" applyAlignment="1">
      <alignment horizontal="left" vertical="center" wrapText="1"/>
    </xf>
    <xf numFmtId="0" fontId="4" fillId="14" borderId="8" xfId="0" applyFont="1" applyFill="1" applyBorder="1" applyAlignment="1">
      <alignment horizontal="left" vertical="top" wrapText="1"/>
    </xf>
    <xf numFmtId="0" fontId="26" fillId="21" borderId="0" xfId="0" applyFont="1" applyFill="1" applyAlignment="1">
      <alignment horizontal="center" vertical="center"/>
    </xf>
    <xf numFmtId="0" fontId="26" fillId="22" borderId="0" xfId="0" applyFont="1" applyFill="1" applyAlignment="1">
      <alignment horizontal="center" vertical="center"/>
    </xf>
    <xf numFmtId="0" fontId="31" fillId="9" borderId="0" xfId="0" applyFont="1" applyFill="1" applyAlignment="1">
      <alignment horizontal="center" vertical="center"/>
    </xf>
    <xf numFmtId="0" fontId="24" fillId="18" borderId="0" xfId="0" applyFont="1" applyFill="1" applyAlignment="1">
      <alignment horizontal="left" vertical="top"/>
    </xf>
    <xf numFmtId="0" fontId="26" fillId="9" borderId="0" xfId="0" applyFont="1" applyFill="1" applyAlignment="1">
      <alignment horizontal="center" vertical="center"/>
    </xf>
    <xf numFmtId="0" fontId="26" fillId="19" borderId="0" xfId="0" applyFont="1" applyFill="1" applyAlignment="1">
      <alignment horizontal="center" vertical="center"/>
    </xf>
    <xf numFmtId="0" fontId="26" fillId="20" borderId="0" xfId="0" applyFont="1" applyFill="1" applyAlignment="1">
      <alignment horizontal="center" vertical="center"/>
    </xf>
    <xf numFmtId="0" fontId="0" fillId="0" borderId="0" xfId="0" applyAlignment="1"/>
  </cellXfs>
  <cellStyles count="4">
    <cellStyle name="Excel Built-in Bad" xfId="1" xr:uid="{7C227C7F-C5B8-4BA8-BDA0-6E8D9D9DED2D}"/>
    <cellStyle name="Excel Built-in Good" xfId="3" xr:uid="{76AB957F-D35B-416F-97C4-891134E1D8C8}"/>
    <cellStyle name="Excel Built-in Neutral" xfId="2" xr:uid="{DF8D34F7-F0FF-497E-B961-90CEDC546669}"/>
    <cellStyle name="Normal" xfId="0" builtinId="0"/>
  </cellStyles>
  <dxfs count="15">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1A237E"/>
      <rgbColor rgb="FF375623"/>
      <rgbColor rgb="FF880E4F"/>
      <rgbColor rgb="FF156082"/>
      <rgbColor rgb="FFBFBFBF"/>
      <rgbColor rgb="FF808080"/>
      <rgbColor rgb="FF9999FF"/>
      <rgbColor rgb="FFA02B93"/>
      <rgbColor rgb="FFFFF2CC"/>
      <rgbColor rgb="FFE0F2F1"/>
      <rgbColor rgb="FF660066"/>
      <rgbColor rgb="FFFF8080"/>
      <rgbColor rgb="FF2E5496"/>
      <rgbColor rgb="FFD9E1F2"/>
      <rgbColor rgb="FF1F3864"/>
      <rgbColor rgb="FFFF00FF"/>
      <rgbColor rgb="FFF4F4F4"/>
      <rgbColor rgb="FF00FFFF"/>
      <rgbColor rgb="FF800080"/>
      <rgbColor rgb="FF800000"/>
      <rgbColor rgb="FF196B24"/>
      <rgbColor rgb="FF0000FF"/>
      <rgbColor rgb="FF0F9ED5"/>
      <rgbColor rgb="FFE2EFDA"/>
      <rgbColor rgb="FFC6EFCE"/>
      <rgbColor rgb="FFFFEB9C"/>
      <rgbColor rgb="FFE8E8E8"/>
      <rgbColor rgb="FFFFE7E7"/>
      <rgbColor rgb="FFF2F2F2"/>
      <rgbColor rgb="FFFFC7CE"/>
      <rgbColor rgb="FF3366FF"/>
      <rgbColor rgb="FF33CCCC"/>
      <rgbColor rgb="FF99CC00"/>
      <rgbColor rgb="FFFFC000"/>
      <rgbColor rgb="FFBF8F00"/>
      <rgbColor rgb="FFE97132"/>
      <rgbColor rgb="FF595959"/>
      <rgbColor rgb="FF969696"/>
      <rgbColor rgb="FF0E2841"/>
      <rgbColor rgb="FF538135"/>
      <rgbColor rgb="FF004D40"/>
      <rgbColor rgb="FF1A1A1A"/>
      <rgbColor rgb="FF9C5700"/>
      <rgbColor rgb="FF37474F"/>
      <rgbColor rgb="FF2E4DA1"/>
      <rgbColor rgb="FF1F2D4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6082"/>
  </sheetPr>
  <dimension ref="B2:D23"/>
  <sheetViews>
    <sheetView showGridLines="0" tabSelected="1" zoomScale="70" zoomScaleNormal="70" workbookViewId="0">
      <selection activeCell="C14" sqref="C14"/>
    </sheetView>
  </sheetViews>
  <sheetFormatPr defaultColWidth="8.5703125" defaultRowHeight="15"/>
  <cols>
    <col min="1" max="1" width="3" customWidth="1"/>
    <col min="2" max="3" width="30" customWidth="1"/>
    <col min="4" max="4" width="78" customWidth="1"/>
  </cols>
  <sheetData>
    <row r="2" spans="2:4" ht="30" customHeight="1">
      <c r="B2" s="81" t="s">
        <v>0</v>
      </c>
      <c r="C2" s="81"/>
      <c r="D2" s="81"/>
    </row>
    <row r="3" spans="2:4" ht="18" customHeight="1">
      <c r="B3" s="82" t="s">
        <v>1</v>
      </c>
      <c r="C3" s="82"/>
      <c r="D3" s="82"/>
    </row>
    <row r="5" spans="2:4" ht="18.75" customHeight="1">
      <c r="B5" s="83" t="s">
        <v>2</v>
      </c>
      <c r="C5" s="83"/>
      <c r="D5" s="83"/>
    </row>
    <row r="6" spans="2:4" ht="145.5" customHeight="1">
      <c r="B6" s="84" t="s">
        <v>3</v>
      </c>
      <c r="C6" s="84"/>
      <c r="D6" s="84"/>
    </row>
    <row r="8" spans="2:4" ht="18.75" customHeight="1">
      <c r="B8" s="83" t="s">
        <v>4</v>
      </c>
      <c r="C8" s="83"/>
      <c r="D8" s="83"/>
    </row>
    <row r="9" spans="2:4" ht="18" customHeight="1">
      <c r="B9" s="2" t="s">
        <v>5</v>
      </c>
      <c r="C9" s="2" t="s">
        <v>6</v>
      </c>
      <c r="D9" s="2" t="s">
        <v>7</v>
      </c>
    </row>
    <row r="10" spans="2:4" ht="55.5" customHeight="1">
      <c r="B10" s="3" t="s">
        <v>8</v>
      </c>
      <c r="C10" s="4" t="s">
        <v>9</v>
      </c>
      <c r="D10" s="4" t="s">
        <v>10</v>
      </c>
    </row>
    <row r="11" spans="2:4" ht="55.5" customHeight="1">
      <c r="B11" s="5" t="s">
        <v>11</v>
      </c>
      <c r="C11" s="6" t="s">
        <v>12</v>
      </c>
      <c r="D11" s="6" t="s">
        <v>13</v>
      </c>
    </row>
    <row r="12" spans="2:4" ht="55.5" customHeight="1">
      <c r="B12" s="3" t="s">
        <v>14</v>
      </c>
      <c r="C12" s="4" t="s">
        <v>15</v>
      </c>
      <c r="D12" s="4" t="s">
        <v>16</v>
      </c>
    </row>
    <row r="13" spans="2:4" ht="55.5" customHeight="1">
      <c r="B13" s="5" t="s">
        <v>17</v>
      </c>
      <c r="C13" s="6" t="s">
        <v>18</v>
      </c>
      <c r="D13" s="6" t="s">
        <v>19</v>
      </c>
    </row>
    <row r="14" spans="2:4" ht="55.5" customHeight="1">
      <c r="B14" s="3" t="s">
        <v>20</v>
      </c>
      <c r="C14" s="4" t="s">
        <v>21</v>
      </c>
      <c r="D14" s="4" t="s">
        <v>22</v>
      </c>
    </row>
    <row r="15" spans="2:4" ht="55.5" customHeight="1"/>
    <row r="16" spans="2:4" ht="55.5" customHeight="1">
      <c r="B16" s="1" t="s">
        <v>23</v>
      </c>
      <c r="C16" s="7"/>
      <c r="D16" s="8"/>
    </row>
    <row r="17" spans="2:4" ht="30">
      <c r="B17" s="9" t="s">
        <v>24</v>
      </c>
      <c r="C17" s="7"/>
      <c r="D17" s="8"/>
    </row>
    <row r="18" spans="2:4" ht="18.75" customHeight="1">
      <c r="B18" s="85" t="s">
        <v>25</v>
      </c>
      <c r="C18" s="85"/>
      <c r="D18" s="85"/>
    </row>
    <row r="19" spans="2:4" ht="15.75" customHeight="1">
      <c r="B19" s="86" t="s">
        <v>26</v>
      </c>
      <c r="C19" s="86"/>
      <c r="D19" s="86"/>
    </row>
    <row r="20" spans="2:4" ht="15.75" customHeight="1">
      <c r="B20" s="113"/>
      <c r="C20" s="113"/>
      <c r="D20" s="113"/>
    </row>
    <row r="21" spans="2:4" ht="15.75" customHeight="1">
      <c r="B21" s="87" t="s">
        <v>27</v>
      </c>
      <c r="C21" s="87"/>
      <c r="D21" s="87"/>
    </row>
    <row r="23" spans="2:4" ht="15" customHeight="1">
      <c r="B23" s="113"/>
      <c r="C23" s="113"/>
      <c r="D23" s="113"/>
    </row>
  </sheetData>
  <mergeCells count="10">
    <mergeCell ref="B18:D18"/>
    <mergeCell ref="B19:D19"/>
    <mergeCell ref="B20:D20"/>
    <mergeCell ref="B21:D21"/>
    <mergeCell ref="B23:D23"/>
    <mergeCell ref="B2:D2"/>
    <mergeCell ref="B3:D3"/>
    <mergeCell ref="B5:D5"/>
    <mergeCell ref="B6:D6"/>
    <mergeCell ref="B8:D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96B24"/>
  </sheetPr>
  <dimension ref="A1:G30"/>
  <sheetViews>
    <sheetView showGridLines="0" zoomScale="80" zoomScaleNormal="80" workbookViewId="0">
      <selection activeCell="F13" sqref="F13"/>
    </sheetView>
  </sheetViews>
  <sheetFormatPr defaultColWidth="8.5703125" defaultRowHeight="15"/>
  <cols>
    <col min="1" max="1" width="3" customWidth="1"/>
    <col min="2" max="2" width="40" customWidth="1"/>
    <col min="3" max="3" width="52" customWidth="1"/>
    <col min="4" max="4" width="11" customWidth="1"/>
    <col min="5" max="5" width="10" customWidth="1"/>
    <col min="6" max="6" width="12" customWidth="1"/>
    <col min="7" max="7" width="34" customWidth="1"/>
  </cols>
  <sheetData>
    <row r="1" spans="1:7" ht="25.5" customHeight="1">
      <c r="A1" s="88" t="s">
        <v>28</v>
      </c>
      <c r="B1" s="88"/>
      <c r="C1" s="88"/>
      <c r="D1" s="88"/>
      <c r="E1" s="88"/>
      <c r="F1" s="88"/>
      <c r="G1" s="88"/>
    </row>
    <row r="2" spans="1:7" ht="15.75" customHeight="1">
      <c r="A2" s="82" t="s">
        <v>29</v>
      </c>
      <c r="B2" s="82"/>
      <c r="C2" s="82"/>
      <c r="D2" s="82"/>
      <c r="E2" s="82"/>
      <c r="F2" s="82"/>
      <c r="G2" s="82"/>
    </row>
    <row r="4" spans="1:7" ht="43.5" customHeight="1">
      <c r="B4" s="84" t="s">
        <v>30</v>
      </c>
      <c r="C4" s="84"/>
      <c r="D4" s="84"/>
      <c r="E4" s="84"/>
      <c r="F4" s="84"/>
      <c r="G4" s="84"/>
    </row>
    <row r="6" spans="1:7" ht="18.75" customHeight="1">
      <c r="A6" s="83" t="s">
        <v>31</v>
      </c>
      <c r="B6" s="83"/>
      <c r="C6" s="83"/>
      <c r="D6" s="83"/>
      <c r="E6" s="83"/>
      <c r="F6" s="83"/>
      <c r="G6" s="83"/>
    </row>
    <row r="7" spans="1:7" ht="28.5" customHeight="1">
      <c r="B7" s="10" t="s">
        <v>32</v>
      </c>
      <c r="C7" s="89"/>
      <c r="D7" s="89"/>
      <c r="E7" s="10" t="s">
        <v>33</v>
      </c>
      <c r="F7" s="89"/>
      <c r="G7" s="89"/>
    </row>
    <row r="8" spans="1:7" ht="28.5" customHeight="1">
      <c r="B8" s="10" t="s">
        <v>34</v>
      </c>
      <c r="C8" s="89"/>
      <c r="D8" s="89"/>
      <c r="E8" s="10" t="s">
        <v>35</v>
      </c>
      <c r="F8" s="89"/>
      <c r="G8" s="89"/>
    </row>
    <row r="10" spans="1:7" ht="18.75" customHeight="1">
      <c r="A10" s="83" t="s">
        <v>36</v>
      </c>
      <c r="B10" s="83"/>
      <c r="C10" s="83"/>
      <c r="D10" s="83"/>
      <c r="E10" s="83"/>
      <c r="F10" s="83"/>
      <c r="G10" s="83"/>
    </row>
    <row r="11" spans="1:7" ht="30" customHeight="1">
      <c r="B11" s="2" t="s">
        <v>37</v>
      </c>
      <c r="C11" s="2" t="s">
        <v>38</v>
      </c>
      <c r="D11" s="12" t="s">
        <v>39</v>
      </c>
      <c r="E11" s="12" t="s">
        <v>40</v>
      </c>
      <c r="F11" s="12" t="s">
        <v>41</v>
      </c>
      <c r="G11" s="2" t="s">
        <v>42</v>
      </c>
    </row>
    <row r="12" spans="1:7" ht="33.75" customHeight="1">
      <c r="B12" s="10" t="s">
        <v>43</v>
      </c>
      <c r="C12" s="13" t="s">
        <v>44</v>
      </c>
      <c r="D12" s="14">
        <v>0.15</v>
      </c>
      <c r="E12" s="15"/>
      <c r="F12" s="16" t="str">
        <f t="shared" ref="F12:F18" si="0">IF(E12="","",D12*E12)</f>
        <v/>
      </c>
      <c r="G12" s="11"/>
    </row>
    <row r="13" spans="1:7" ht="33.75" customHeight="1">
      <c r="B13" s="10" t="s">
        <v>45</v>
      </c>
      <c r="C13" s="13" t="s">
        <v>46</v>
      </c>
      <c r="D13" s="14">
        <v>0.2</v>
      </c>
      <c r="E13" s="15"/>
      <c r="F13" s="16" t="str">
        <f t="shared" si="0"/>
        <v/>
      </c>
      <c r="G13" s="11"/>
    </row>
    <row r="14" spans="1:7" ht="33.75" customHeight="1">
      <c r="B14" s="10" t="s">
        <v>47</v>
      </c>
      <c r="C14" s="13" t="s">
        <v>48</v>
      </c>
      <c r="D14" s="14">
        <v>0.15</v>
      </c>
      <c r="E14" s="15"/>
      <c r="F14" s="16" t="str">
        <f t="shared" si="0"/>
        <v/>
      </c>
      <c r="G14" s="11"/>
    </row>
    <row r="15" spans="1:7" ht="33.75" customHeight="1">
      <c r="B15" s="10" t="s">
        <v>49</v>
      </c>
      <c r="C15" s="13" t="s">
        <v>50</v>
      </c>
      <c r="D15" s="14">
        <v>0.15</v>
      </c>
      <c r="E15" s="15"/>
      <c r="F15" s="16" t="str">
        <f t="shared" si="0"/>
        <v/>
      </c>
      <c r="G15" s="11"/>
    </row>
    <row r="16" spans="1:7" ht="33.75" customHeight="1">
      <c r="B16" s="10" t="s">
        <v>51</v>
      </c>
      <c r="C16" s="13" t="s">
        <v>52</v>
      </c>
      <c r="D16" s="14">
        <v>0.15</v>
      </c>
      <c r="E16" s="15"/>
      <c r="F16" s="16" t="str">
        <f t="shared" si="0"/>
        <v/>
      </c>
      <c r="G16" s="11"/>
    </row>
    <row r="17" spans="1:7" ht="33.75" customHeight="1">
      <c r="B17" s="10" t="s">
        <v>53</v>
      </c>
      <c r="C17" s="13" t="s">
        <v>54</v>
      </c>
      <c r="D17" s="14">
        <v>0.1</v>
      </c>
      <c r="E17" s="15"/>
      <c r="F17" s="16" t="str">
        <f t="shared" si="0"/>
        <v/>
      </c>
      <c r="G17" s="11"/>
    </row>
    <row r="18" spans="1:7" ht="33.75" customHeight="1">
      <c r="B18" s="10" t="s">
        <v>55</v>
      </c>
      <c r="C18" s="13" t="s">
        <v>56</v>
      </c>
      <c r="D18" s="14">
        <v>0.1</v>
      </c>
      <c r="E18" s="15"/>
      <c r="F18" s="16" t="str">
        <f t="shared" si="0"/>
        <v/>
      </c>
      <c r="G18" s="11"/>
    </row>
    <row r="19" spans="1:7" ht="21.75" customHeight="1">
      <c r="B19" s="17" t="s">
        <v>57</v>
      </c>
      <c r="C19" s="17" t="s">
        <v>58</v>
      </c>
      <c r="D19" s="18">
        <f>SUM(D12:D18)</f>
        <v>1</v>
      </c>
      <c r="E19" s="19"/>
      <c r="F19" s="20" t="str">
        <f>IF(COUNT(E12:E18)=0,"",SUMPRODUCT(D12:D18,IF(E12:E18="",0,E12:E18)))</f>
        <v/>
      </c>
      <c r="G19" s="19"/>
    </row>
    <row r="21" spans="1:7" ht="18.75" customHeight="1">
      <c r="A21" s="83" t="s">
        <v>59</v>
      </c>
      <c r="B21" s="83"/>
      <c r="C21" s="83"/>
      <c r="D21" s="83"/>
      <c r="E21" s="83"/>
      <c r="F21" s="83"/>
      <c r="G21" s="83"/>
    </row>
    <row r="22" spans="1:7" ht="30" customHeight="1">
      <c r="B22" s="21" t="s">
        <v>60</v>
      </c>
      <c r="C22" s="90" t="s">
        <v>61</v>
      </c>
      <c r="D22" s="90"/>
      <c r="E22" s="90"/>
      <c r="F22" s="90"/>
      <c r="G22" s="90"/>
    </row>
    <row r="23" spans="1:7" ht="30" customHeight="1">
      <c r="B23" s="23" t="s">
        <v>62</v>
      </c>
      <c r="C23" s="91" t="s">
        <v>63</v>
      </c>
      <c r="D23" s="91"/>
      <c r="E23" s="91"/>
      <c r="F23" s="91"/>
      <c r="G23" s="91"/>
    </row>
    <row r="24" spans="1:7" ht="30" customHeight="1">
      <c r="B24" s="25" t="s">
        <v>64</v>
      </c>
      <c r="C24" s="92" t="s">
        <v>65</v>
      </c>
      <c r="D24" s="92"/>
      <c r="E24" s="92"/>
      <c r="F24" s="92"/>
      <c r="G24" s="92"/>
    </row>
    <row r="26" spans="1:7" ht="18.75" customHeight="1">
      <c r="A26" s="83" t="s">
        <v>66</v>
      </c>
      <c r="B26" s="83"/>
      <c r="C26" s="83"/>
      <c r="D26" s="83"/>
      <c r="E26" s="83"/>
      <c r="F26" s="83"/>
      <c r="G26" s="83"/>
    </row>
    <row r="27" spans="1:7" ht="25.5" customHeight="1">
      <c r="B27" s="10" t="s">
        <v>67</v>
      </c>
      <c r="C27" s="93" t="str">
        <f>F19</f>
        <v/>
      </c>
      <c r="D27" s="93"/>
      <c r="E27" s="93"/>
      <c r="F27" s="93"/>
      <c r="G27" s="93"/>
    </row>
    <row r="28" spans="1:7" ht="25.5" customHeight="1">
      <c r="B28" s="10" t="s">
        <v>68</v>
      </c>
      <c r="C28" s="89"/>
      <c r="D28" s="89"/>
      <c r="E28" s="89"/>
      <c r="F28" s="89"/>
      <c r="G28" s="89"/>
    </row>
    <row r="29" spans="1:7" ht="25.5" customHeight="1">
      <c r="B29" s="10" t="s">
        <v>69</v>
      </c>
      <c r="C29" s="89"/>
      <c r="D29" s="89"/>
      <c r="E29" s="89"/>
      <c r="F29" s="89"/>
      <c r="G29" s="89"/>
    </row>
    <row r="30" spans="1:7" ht="25.5" customHeight="1">
      <c r="B30" s="10" t="s">
        <v>70</v>
      </c>
      <c r="C30" s="89"/>
      <c r="D30" s="89"/>
      <c r="E30" s="89"/>
      <c r="F30" s="89"/>
      <c r="G30" s="89"/>
    </row>
  </sheetData>
  <mergeCells count="18">
    <mergeCell ref="C29:G29"/>
    <mergeCell ref="C30:G30"/>
    <mergeCell ref="C23:G23"/>
    <mergeCell ref="C24:G24"/>
    <mergeCell ref="A26:G26"/>
    <mergeCell ref="C27:G27"/>
    <mergeCell ref="C28:G28"/>
    <mergeCell ref="C8:D8"/>
    <mergeCell ref="F8:G8"/>
    <mergeCell ref="A10:G10"/>
    <mergeCell ref="A21:G21"/>
    <mergeCell ref="C22:G22"/>
    <mergeCell ref="A1:G1"/>
    <mergeCell ref="A2:G2"/>
    <mergeCell ref="B4:G4"/>
    <mergeCell ref="A6:G6"/>
    <mergeCell ref="C7:D7"/>
    <mergeCell ref="F7:G7"/>
  </mergeCells>
  <dataValidations count="2">
    <dataValidation type="list" allowBlank="1" sqref="C28" xr:uid="{00000000-0002-0000-0200-000000000000}">
      <formula1>"Bid,Conditional,No-Bid"</formula1>
      <formula2>0</formula2>
    </dataValidation>
    <dataValidation type="whole" allowBlank="1" errorTitle="Invalid score" error="Enter a whole number 1–5" sqref="E12:E18" xr:uid="{00000000-0002-0000-0200-000001000000}">
      <formula1>1</formula1>
      <formula2>5</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E2841"/>
    <pageSetUpPr fitToPage="1"/>
  </sheetPr>
  <dimension ref="B1:L61"/>
  <sheetViews>
    <sheetView zoomScale="70" zoomScaleNormal="70" workbookViewId="0">
      <selection activeCell="I5" sqref="I5"/>
    </sheetView>
  </sheetViews>
  <sheetFormatPr defaultColWidth="8.7109375" defaultRowHeight="15"/>
  <cols>
    <col min="1" max="1" width="3.140625" style="62" customWidth="1"/>
    <col min="2" max="2" width="21.85546875" style="70" customWidth="1"/>
    <col min="3" max="3" width="40" style="71" customWidth="1"/>
    <col min="4" max="4" width="22" style="71" customWidth="1"/>
    <col min="5" max="7" width="30" style="71" customWidth="1"/>
    <col min="8" max="9" width="16" style="69" customWidth="1"/>
    <col min="10" max="10" width="29.7109375" style="71" customWidth="1"/>
    <col min="11" max="11" width="40.85546875" style="61" customWidth="1"/>
    <col min="12" max="12" width="44.42578125" style="61" customWidth="1"/>
    <col min="13" max="13" width="16" style="62" customWidth="1"/>
    <col min="14" max="14" width="14" style="62" customWidth="1"/>
    <col min="15" max="15" width="12" style="62" customWidth="1"/>
    <col min="16" max="16" width="30" style="62" customWidth="1"/>
    <col min="17" max="17" width="32" style="62" customWidth="1"/>
    <col min="18" max="16384" width="8.7109375" style="62"/>
  </cols>
  <sheetData>
    <row r="1" spans="2:10" ht="21" customHeight="1">
      <c r="B1" s="98" t="s">
        <v>11</v>
      </c>
      <c r="C1" s="98"/>
      <c r="D1" s="98"/>
      <c r="E1" s="98"/>
      <c r="F1" s="98"/>
      <c r="G1" s="98"/>
      <c r="H1" s="98"/>
      <c r="I1" s="98"/>
      <c r="J1" s="98"/>
    </row>
    <row r="2" spans="2:10" ht="21" customHeight="1">
      <c r="B2" s="99" t="s">
        <v>71</v>
      </c>
      <c r="C2" s="99"/>
      <c r="D2" s="99"/>
      <c r="E2" s="99"/>
      <c r="F2" s="99"/>
      <c r="G2" s="99"/>
      <c r="H2" s="99"/>
      <c r="I2" s="99"/>
      <c r="J2" s="99"/>
    </row>
    <row r="3" spans="2:10" s="66" customFormat="1" ht="15" customHeight="1">
      <c r="B3" s="63" t="s">
        <v>72</v>
      </c>
      <c r="C3" s="64" t="s">
        <v>73</v>
      </c>
      <c r="D3" s="64" t="s">
        <v>74</v>
      </c>
      <c r="E3" s="64" t="s">
        <v>75</v>
      </c>
      <c r="F3" s="64" t="s">
        <v>76</v>
      </c>
      <c r="G3" s="64" t="s">
        <v>77</v>
      </c>
      <c r="H3" s="65" t="s">
        <v>78</v>
      </c>
      <c r="I3" s="65" t="s">
        <v>79</v>
      </c>
      <c r="J3" s="64" t="s">
        <v>80</v>
      </c>
    </row>
    <row r="4" spans="2:10" ht="72" customHeight="1">
      <c r="B4" s="100" t="s">
        <v>81</v>
      </c>
      <c r="C4" s="97" t="s">
        <v>82</v>
      </c>
      <c r="D4" s="68" t="s">
        <v>83</v>
      </c>
      <c r="E4" s="27" t="s">
        <v>84</v>
      </c>
      <c r="F4" s="28" t="s">
        <v>85</v>
      </c>
      <c r="G4" s="29" t="s">
        <v>86</v>
      </c>
      <c r="H4" s="69" t="s">
        <v>76</v>
      </c>
      <c r="I4" s="69">
        <f t="shared" ref="I4:I47" si="0">IF(H4="✅ Best Practice",2,IF(H4="⚠️ Minimally Meets",1,IF(H4="❌ Does Not Meet",0,"—")))</f>
        <v>1</v>
      </c>
      <c r="J4" s="67" t="s">
        <v>87</v>
      </c>
    </row>
    <row r="5" spans="2:10" ht="87" customHeight="1">
      <c r="B5" s="100"/>
      <c r="C5" s="97"/>
      <c r="D5" s="68" t="s">
        <v>88</v>
      </c>
      <c r="E5" s="27" t="s">
        <v>89</v>
      </c>
      <c r="F5" s="28" t="s">
        <v>90</v>
      </c>
      <c r="G5" s="29" t="s">
        <v>91</v>
      </c>
      <c r="H5" s="69" t="s">
        <v>76</v>
      </c>
      <c r="I5" s="69">
        <f t="shared" si="0"/>
        <v>1</v>
      </c>
      <c r="J5" s="67" t="s">
        <v>87</v>
      </c>
    </row>
    <row r="6" spans="2:10" ht="87" customHeight="1">
      <c r="B6" s="100"/>
      <c r="C6" s="97"/>
      <c r="D6" s="68" t="s">
        <v>92</v>
      </c>
      <c r="E6" s="27" t="s">
        <v>93</v>
      </c>
      <c r="F6" s="28" t="s">
        <v>94</v>
      </c>
      <c r="G6" s="29" t="s">
        <v>95</v>
      </c>
      <c r="H6" s="69" t="s">
        <v>75</v>
      </c>
      <c r="I6" s="69">
        <f t="shared" si="0"/>
        <v>0</v>
      </c>
      <c r="J6" s="67" t="s">
        <v>87</v>
      </c>
    </row>
    <row r="7" spans="2:10" ht="87" customHeight="1">
      <c r="B7" s="100"/>
      <c r="C7" s="97"/>
      <c r="D7" s="68" t="s">
        <v>96</v>
      </c>
      <c r="E7" s="27" t="s">
        <v>97</v>
      </c>
      <c r="F7" s="28" t="s">
        <v>98</v>
      </c>
      <c r="G7" s="29" t="s">
        <v>99</v>
      </c>
      <c r="H7" s="69" t="s">
        <v>77</v>
      </c>
      <c r="I7" s="69">
        <f t="shared" si="0"/>
        <v>2</v>
      </c>
      <c r="J7" s="67" t="s">
        <v>87</v>
      </c>
    </row>
    <row r="8" spans="2:10" ht="101.25" customHeight="1">
      <c r="B8" s="94" t="s">
        <v>100</v>
      </c>
      <c r="C8" s="95" t="s">
        <v>101</v>
      </c>
      <c r="D8" s="72" t="s">
        <v>102</v>
      </c>
      <c r="E8" s="27" t="s">
        <v>103</v>
      </c>
      <c r="F8" s="28" t="s">
        <v>104</v>
      </c>
      <c r="G8" s="29" t="s">
        <v>105</v>
      </c>
      <c r="H8" s="69" t="s">
        <v>77</v>
      </c>
      <c r="I8" s="69">
        <f t="shared" si="0"/>
        <v>2</v>
      </c>
      <c r="J8" s="71" t="s">
        <v>87</v>
      </c>
    </row>
    <row r="9" spans="2:10" ht="101.25" customHeight="1">
      <c r="B9" s="94"/>
      <c r="C9" s="94"/>
      <c r="D9" s="72" t="s">
        <v>106</v>
      </c>
      <c r="E9" s="27" t="s">
        <v>107</v>
      </c>
      <c r="F9" s="28" t="s">
        <v>108</v>
      </c>
      <c r="G9" s="29" t="s">
        <v>109</v>
      </c>
      <c r="H9" s="69" t="s">
        <v>76</v>
      </c>
      <c r="I9" s="69">
        <f t="shared" si="0"/>
        <v>1</v>
      </c>
      <c r="J9" s="71" t="s">
        <v>87</v>
      </c>
    </row>
    <row r="10" spans="2:10" ht="87" customHeight="1">
      <c r="B10" s="94"/>
      <c r="C10" s="94"/>
      <c r="D10" s="72" t="s">
        <v>110</v>
      </c>
      <c r="E10" s="27" t="s">
        <v>111</v>
      </c>
      <c r="F10" s="28" t="s">
        <v>112</v>
      </c>
      <c r="G10" s="29" t="s">
        <v>113</v>
      </c>
      <c r="H10" s="69" t="s">
        <v>76</v>
      </c>
      <c r="I10" s="69">
        <f t="shared" si="0"/>
        <v>1</v>
      </c>
      <c r="J10" s="71" t="s">
        <v>87</v>
      </c>
    </row>
    <row r="11" spans="2:10" ht="84.75" customHeight="1">
      <c r="B11" s="96" t="s">
        <v>114</v>
      </c>
      <c r="C11" s="97" t="s">
        <v>115</v>
      </c>
      <c r="D11" s="68" t="s">
        <v>116</v>
      </c>
      <c r="E11" s="27" t="s">
        <v>117</v>
      </c>
      <c r="F11" s="28" t="s">
        <v>118</v>
      </c>
      <c r="G11" s="29" t="s">
        <v>119</v>
      </c>
      <c r="H11" s="69" t="s">
        <v>76</v>
      </c>
      <c r="I11" s="69">
        <f t="shared" si="0"/>
        <v>1</v>
      </c>
      <c r="J11" s="67" t="s">
        <v>87</v>
      </c>
    </row>
    <row r="12" spans="2:10" ht="90" customHeight="1">
      <c r="B12" s="96"/>
      <c r="C12" s="96"/>
      <c r="D12" s="68" t="s">
        <v>120</v>
      </c>
      <c r="E12" s="27" t="s">
        <v>121</v>
      </c>
      <c r="F12" s="28" t="s">
        <v>122</v>
      </c>
      <c r="G12" s="29" t="s">
        <v>123</v>
      </c>
      <c r="H12" s="69" t="s">
        <v>76</v>
      </c>
      <c r="I12" s="69">
        <f t="shared" si="0"/>
        <v>1</v>
      </c>
      <c r="J12" s="67" t="s">
        <v>87</v>
      </c>
    </row>
    <row r="13" spans="2:10" ht="129" customHeight="1">
      <c r="B13" s="96"/>
      <c r="C13" s="96"/>
      <c r="D13" s="68" t="s">
        <v>124</v>
      </c>
      <c r="E13" s="27" t="s">
        <v>125</v>
      </c>
      <c r="F13" s="28" t="s">
        <v>126</v>
      </c>
      <c r="G13" s="29" t="s">
        <v>127</v>
      </c>
      <c r="H13" s="69" t="s">
        <v>76</v>
      </c>
      <c r="I13" s="69">
        <f t="shared" si="0"/>
        <v>1</v>
      </c>
      <c r="J13" s="67" t="s">
        <v>87</v>
      </c>
    </row>
    <row r="14" spans="2:10" ht="153" customHeight="1">
      <c r="B14" s="96"/>
      <c r="C14" s="96"/>
      <c r="D14" s="68" t="s">
        <v>128</v>
      </c>
      <c r="E14" s="27" t="s">
        <v>129</v>
      </c>
      <c r="F14" s="28" t="s">
        <v>130</v>
      </c>
      <c r="G14" s="29" t="s">
        <v>131</v>
      </c>
      <c r="H14" s="69" t="s">
        <v>76</v>
      </c>
      <c r="I14" s="69">
        <f t="shared" si="0"/>
        <v>1</v>
      </c>
      <c r="J14" s="67" t="s">
        <v>87</v>
      </c>
    </row>
    <row r="15" spans="2:10" ht="72" customHeight="1">
      <c r="B15" s="94" t="s">
        <v>132</v>
      </c>
      <c r="C15" s="95" t="s">
        <v>133</v>
      </c>
      <c r="D15" s="72" t="s">
        <v>134</v>
      </c>
      <c r="E15" s="27" t="s">
        <v>135</v>
      </c>
      <c r="F15" s="28" t="s">
        <v>136</v>
      </c>
      <c r="G15" s="29" t="s">
        <v>137</v>
      </c>
      <c r="H15" s="69" t="s">
        <v>138</v>
      </c>
      <c r="I15" s="69" t="str">
        <f t="shared" si="0"/>
        <v>—</v>
      </c>
      <c r="J15" s="71" t="s">
        <v>87</v>
      </c>
    </row>
    <row r="16" spans="2:10" ht="72" customHeight="1">
      <c r="B16" s="94"/>
      <c r="C16" s="94"/>
      <c r="D16" s="72" t="s">
        <v>139</v>
      </c>
      <c r="E16" s="27" t="s">
        <v>140</v>
      </c>
      <c r="F16" s="28" t="s">
        <v>141</v>
      </c>
      <c r="G16" s="29" t="s">
        <v>142</v>
      </c>
      <c r="H16" s="69" t="s">
        <v>138</v>
      </c>
      <c r="I16" s="69" t="str">
        <f t="shared" si="0"/>
        <v>—</v>
      </c>
      <c r="J16" s="71" t="s">
        <v>87</v>
      </c>
    </row>
    <row r="17" spans="2:10" ht="72" customHeight="1">
      <c r="B17" s="94"/>
      <c r="C17" s="94"/>
      <c r="D17" s="72" t="s">
        <v>143</v>
      </c>
      <c r="E17" s="27" t="s">
        <v>144</v>
      </c>
      <c r="F17" s="28" t="s">
        <v>145</v>
      </c>
      <c r="G17" s="29" t="s">
        <v>146</v>
      </c>
      <c r="H17" s="69" t="s">
        <v>138</v>
      </c>
      <c r="I17" s="69" t="str">
        <f t="shared" si="0"/>
        <v>—</v>
      </c>
      <c r="J17" s="71" t="s">
        <v>87</v>
      </c>
    </row>
    <row r="18" spans="2:10" ht="72.75" customHeight="1">
      <c r="B18" s="94"/>
      <c r="C18" s="94"/>
      <c r="D18" s="72" t="s">
        <v>147</v>
      </c>
      <c r="E18" s="27" t="s">
        <v>148</v>
      </c>
      <c r="F18" s="28" t="s">
        <v>149</v>
      </c>
      <c r="G18" s="29" t="s">
        <v>150</v>
      </c>
      <c r="H18" s="69" t="s">
        <v>138</v>
      </c>
      <c r="I18" s="69" t="str">
        <f t="shared" si="0"/>
        <v>—</v>
      </c>
      <c r="J18" s="71" t="s">
        <v>87</v>
      </c>
    </row>
    <row r="19" spans="2:10" ht="57.75" customHeight="1">
      <c r="B19" s="96" t="s">
        <v>151</v>
      </c>
      <c r="C19" s="97" t="s">
        <v>152</v>
      </c>
      <c r="D19" s="68" t="s">
        <v>153</v>
      </c>
      <c r="E19" s="27" t="s">
        <v>154</v>
      </c>
      <c r="F19" s="28" t="s">
        <v>155</v>
      </c>
      <c r="G19" s="29" t="s">
        <v>156</v>
      </c>
      <c r="H19" s="69" t="s">
        <v>76</v>
      </c>
      <c r="I19" s="69">
        <f t="shared" si="0"/>
        <v>1</v>
      </c>
      <c r="J19" s="67" t="s">
        <v>87</v>
      </c>
    </row>
    <row r="20" spans="2:10" ht="57.75" customHeight="1">
      <c r="B20" s="96"/>
      <c r="C20" s="96"/>
      <c r="D20" s="68" t="s">
        <v>157</v>
      </c>
      <c r="E20" s="27" t="s">
        <v>158</v>
      </c>
      <c r="F20" s="28" t="s">
        <v>159</v>
      </c>
      <c r="G20" s="29" t="s">
        <v>160</v>
      </c>
      <c r="H20" s="69" t="s">
        <v>76</v>
      </c>
      <c r="I20" s="69">
        <f t="shared" si="0"/>
        <v>1</v>
      </c>
      <c r="J20" s="67" t="s">
        <v>87</v>
      </c>
    </row>
    <row r="21" spans="2:10" ht="72" customHeight="1">
      <c r="B21" s="96"/>
      <c r="C21" s="96"/>
      <c r="D21" s="68" t="s">
        <v>161</v>
      </c>
      <c r="E21" s="27" t="s">
        <v>162</v>
      </c>
      <c r="F21" s="28" t="s">
        <v>163</v>
      </c>
      <c r="G21" s="29" t="s">
        <v>164</v>
      </c>
      <c r="H21" s="69" t="s">
        <v>76</v>
      </c>
      <c r="I21" s="69">
        <f t="shared" si="0"/>
        <v>1</v>
      </c>
      <c r="J21" s="67" t="s">
        <v>87</v>
      </c>
    </row>
    <row r="22" spans="2:10" s="73" customFormat="1" ht="72" customHeight="1">
      <c r="B22" s="96"/>
      <c r="C22" s="96"/>
      <c r="D22" s="68" t="s">
        <v>165</v>
      </c>
      <c r="E22" s="27" t="s">
        <v>166</v>
      </c>
      <c r="F22" s="28" t="s">
        <v>167</v>
      </c>
      <c r="G22" s="29" t="s">
        <v>168</v>
      </c>
      <c r="H22" s="69" t="s">
        <v>76</v>
      </c>
      <c r="I22" s="69">
        <f t="shared" si="0"/>
        <v>1</v>
      </c>
      <c r="J22" s="67" t="s">
        <v>87</v>
      </c>
    </row>
    <row r="23" spans="2:10" ht="72.75" customHeight="1">
      <c r="B23" s="96"/>
      <c r="C23" s="96"/>
      <c r="D23" s="68" t="s">
        <v>169</v>
      </c>
      <c r="E23" s="27" t="s">
        <v>170</v>
      </c>
      <c r="F23" s="28" t="s">
        <v>171</v>
      </c>
      <c r="G23" s="29" t="s">
        <v>172</v>
      </c>
      <c r="H23" s="69" t="s">
        <v>76</v>
      </c>
      <c r="I23" s="69">
        <f t="shared" si="0"/>
        <v>1</v>
      </c>
      <c r="J23" s="67" t="s">
        <v>87</v>
      </c>
    </row>
    <row r="24" spans="2:10" ht="72" customHeight="1">
      <c r="B24" s="94" t="s">
        <v>173</v>
      </c>
      <c r="C24" s="95" t="s">
        <v>174</v>
      </c>
      <c r="D24" s="72" t="s">
        <v>175</v>
      </c>
      <c r="E24" s="27" t="s">
        <v>176</v>
      </c>
      <c r="F24" s="28" t="s">
        <v>177</v>
      </c>
      <c r="G24" s="29" t="s">
        <v>178</v>
      </c>
      <c r="H24" s="69" t="s">
        <v>76</v>
      </c>
      <c r="I24" s="69">
        <f t="shared" si="0"/>
        <v>1</v>
      </c>
      <c r="J24" s="71" t="s">
        <v>87</v>
      </c>
    </row>
    <row r="25" spans="2:10" ht="87" customHeight="1">
      <c r="B25" s="94"/>
      <c r="C25" s="94"/>
      <c r="D25" s="72" t="s">
        <v>179</v>
      </c>
      <c r="E25" s="27" t="s">
        <v>180</v>
      </c>
      <c r="F25" s="28" t="s">
        <v>181</v>
      </c>
      <c r="G25" s="29" t="s">
        <v>182</v>
      </c>
      <c r="H25" s="69" t="s">
        <v>76</v>
      </c>
      <c r="I25" s="69">
        <f t="shared" si="0"/>
        <v>1</v>
      </c>
      <c r="J25" s="71" t="s">
        <v>87</v>
      </c>
    </row>
    <row r="26" spans="2:10" ht="57.75" customHeight="1">
      <c r="B26" s="94"/>
      <c r="C26" s="94"/>
      <c r="D26" s="72" t="s">
        <v>183</v>
      </c>
      <c r="E26" s="27" t="s">
        <v>184</v>
      </c>
      <c r="F26" s="28" t="s">
        <v>185</v>
      </c>
      <c r="G26" s="29" t="s">
        <v>186</v>
      </c>
      <c r="H26" s="69" t="s">
        <v>76</v>
      </c>
      <c r="I26" s="69">
        <f t="shared" si="0"/>
        <v>1</v>
      </c>
      <c r="J26" s="71" t="s">
        <v>87</v>
      </c>
    </row>
    <row r="27" spans="2:10" ht="87" customHeight="1">
      <c r="B27" s="94"/>
      <c r="C27" s="94"/>
      <c r="D27" s="72" t="s">
        <v>187</v>
      </c>
      <c r="E27" s="27" t="s">
        <v>188</v>
      </c>
      <c r="F27" s="28" t="s">
        <v>189</v>
      </c>
      <c r="G27" s="29" t="s">
        <v>190</v>
      </c>
      <c r="H27" s="69" t="s">
        <v>76</v>
      </c>
      <c r="I27" s="69">
        <f t="shared" si="0"/>
        <v>1</v>
      </c>
      <c r="J27" s="71" t="s">
        <v>87</v>
      </c>
    </row>
    <row r="28" spans="2:10" ht="57.75" customHeight="1">
      <c r="B28" s="94"/>
      <c r="C28" s="94"/>
      <c r="D28" s="72" t="s">
        <v>191</v>
      </c>
      <c r="E28" s="27" t="s">
        <v>192</v>
      </c>
      <c r="F28" s="28" t="s">
        <v>193</v>
      </c>
      <c r="G28" s="29" t="s">
        <v>194</v>
      </c>
      <c r="H28" s="69" t="s">
        <v>76</v>
      </c>
      <c r="I28" s="69">
        <f t="shared" si="0"/>
        <v>1</v>
      </c>
      <c r="J28" s="71" t="s">
        <v>87</v>
      </c>
    </row>
    <row r="29" spans="2:10" ht="87" customHeight="1">
      <c r="B29" s="94"/>
      <c r="C29" s="94"/>
      <c r="D29" s="72" t="s">
        <v>195</v>
      </c>
      <c r="E29" s="27" t="s">
        <v>196</v>
      </c>
      <c r="F29" s="28" t="s">
        <v>197</v>
      </c>
      <c r="G29" s="29" t="s">
        <v>198</v>
      </c>
      <c r="H29" s="69" t="s">
        <v>76</v>
      </c>
      <c r="I29" s="69">
        <f t="shared" si="0"/>
        <v>1</v>
      </c>
      <c r="J29" s="71" t="s">
        <v>87</v>
      </c>
    </row>
    <row r="30" spans="2:10" ht="115.5" customHeight="1">
      <c r="B30" s="96" t="s">
        <v>199</v>
      </c>
      <c r="C30" s="97" t="s">
        <v>200</v>
      </c>
      <c r="D30" s="68" t="s">
        <v>201</v>
      </c>
      <c r="E30" s="27" t="s">
        <v>202</v>
      </c>
      <c r="F30" s="28" t="s">
        <v>203</v>
      </c>
      <c r="G30" s="29" t="s">
        <v>204</v>
      </c>
      <c r="H30" s="69" t="s">
        <v>76</v>
      </c>
      <c r="I30" s="69">
        <f t="shared" si="0"/>
        <v>1</v>
      </c>
      <c r="J30" s="67" t="s">
        <v>87</v>
      </c>
    </row>
    <row r="31" spans="2:10" ht="87" customHeight="1">
      <c r="B31" s="96"/>
      <c r="C31" s="96"/>
      <c r="D31" s="68" t="s">
        <v>205</v>
      </c>
      <c r="E31" s="27" t="s">
        <v>206</v>
      </c>
      <c r="F31" s="28" t="s">
        <v>207</v>
      </c>
      <c r="G31" s="29" t="s">
        <v>208</v>
      </c>
      <c r="H31" s="69" t="s">
        <v>76</v>
      </c>
      <c r="I31" s="69">
        <f t="shared" si="0"/>
        <v>1</v>
      </c>
      <c r="J31" s="67" t="s">
        <v>87</v>
      </c>
    </row>
    <row r="32" spans="2:10" ht="72" customHeight="1">
      <c r="B32" s="96"/>
      <c r="C32" s="96"/>
      <c r="D32" s="68" t="s">
        <v>209</v>
      </c>
      <c r="E32" s="27" t="s">
        <v>210</v>
      </c>
      <c r="F32" s="28" t="s">
        <v>211</v>
      </c>
      <c r="G32" s="29" t="s">
        <v>212</v>
      </c>
      <c r="H32" s="69" t="s">
        <v>76</v>
      </c>
      <c r="I32" s="69">
        <f t="shared" si="0"/>
        <v>1</v>
      </c>
      <c r="J32" s="67" t="s">
        <v>87</v>
      </c>
    </row>
    <row r="33" spans="2:10" ht="72" customHeight="1">
      <c r="B33" s="96"/>
      <c r="C33" s="96"/>
      <c r="D33" s="68" t="s">
        <v>213</v>
      </c>
      <c r="E33" s="27" t="s">
        <v>214</v>
      </c>
      <c r="F33" s="28" t="s">
        <v>215</v>
      </c>
      <c r="G33" s="29" t="s">
        <v>216</v>
      </c>
      <c r="H33" s="69" t="s">
        <v>76</v>
      </c>
      <c r="I33" s="69">
        <f t="shared" si="0"/>
        <v>1</v>
      </c>
      <c r="J33" s="67" t="s">
        <v>87</v>
      </c>
    </row>
    <row r="34" spans="2:10" ht="72.75" customHeight="1">
      <c r="B34" s="96"/>
      <c r="C34" s="96"/>
      <c r="D34" s="68" t="s">
        <v>217</v>
      </c>
      <c r="E34" s="27" t="s">
        <v>218</v>
      </c>
      <c r="F34" s="28" t="s">
        <v>219</v>
      </c>
      <c r="G34" s="29" t="s">
        <v>220</v>
      </c>
      <c r="H34" s="69" t="s">
        <v>76</v>
      </c>
      <c r="I34" s="69">
        <f t="shared" si="0"/>
        <v>1</v>
      </c>
      <c r="J34" s="67" t="s">
        <v>87</v>
      </c>
    </row>
    <row r="35" spans="2:10" ht="72" customHeight="1">
      <c r="B35" s="94" t="s">
        <v>221</v>
      </c>
      <c r="C35" s="95" t="s">
        <v>222</v>
      </c>
      <c r="D35" s="72" t="s">
        <v>223</v>
      </c>
      <c r="E35" s="27" t="s">
        <v>224</v>
      </c>
      <c r="F35" s="28" t="s">
        <v>225</v>
      </c>
      <c r="G35" s="29" t="s">
        <v>226</v>
      </c>
      <c r="H35" s="69" t="s">
        <v>76</v>
      </c>
      <c r="I35" s="69">
        <f t="shared" si="0"/>
        <v>1</v>
      </c>
      <c r="J35" s="71" t="s">
        <v>87</v>
      </c>
    </row>
    <row r="36" spans="2:10" ht="57.75" customHeight="1">
      <c r="B36" s="94"/>
      <c r="C36" s="94"/>
      <c r="D36" s="72" t="s">
        <v>227</v>
      </c>
      <c r="E36" s="27" t="s">
        <v>228</v>
      </c>
      <c r="F36" s="28" t="s">
        <v>229</v>
      </c>
      <c r="G36" s="29" t="s">
        <v>230</v>
      </c>
      <c r="H36" s="69" t="s">
        <v>76</v>
      </c>
      <c r="I36" s="69">
        <f t="shared" si="0"/>
        <v>1</v>
      </c>
      <c r="J36" s="71" t="s">
        <v>87</v>
      </c>
    </row>
    <row r="37" spans="2:10" ht="72" customHeight="1">
      <c r="B37" s="94"/>
      <c r="C37" s="94"/>
      <c r="D37" s="72" t="s">
        <v>231</v>
      </c>
      <c r="E37" s="27" t="s">
        <v>232</v>
      </c>
      <c r="F37" s="28" t="s">
        <v>233</v>
      </c>
      <c r="G37" s="29" t="s">
        <v>234</v>
      </c>
      <c r="H37" s="69" t="s">
        <v>76</v>
      </c>
      <c r="I37" s="69">
        <f t="shared" si="0"/>
        <v>1</v>
      </c>
      <c r="J37" s="71" t="s">
        <v>87</v>
      </c>
    </row>
    <row r="38" spans="2:10" ht="58.5" customHeight="1">
      <c r="B38" s="94"/>
      <c r="C38" s="94"/>
      <c r="D38" s="72" t="s">
        <v>235</v>
      </c>
      <c r="E38" s="27" t="s">
        <v>236</v>
      </c>
      <c r="F38" s="28" t="s">
        <v>237</v>
      </c>
      <c r="G38" s="29" t="s">
        <v>238</v>
      </c>
      <c r="H38" s="69" t="s">
        <v>76</v>
      </c>
      <c r="I38" s="69">
        <f t="shared" si="0"/>
        <v>1</v>
      </c>
      <c r="J38" s="71" t="s">
        <v>87</v>
      </c>
    </row>
    <row r="39" spans="2:10" ht="101.25" customHeight="1">
      <c r="B39" s="96" t="s">
        <v>239</v>
      </c>
      <c r="C39" s="97" t="s">
        <v>240</v>
      </c>
      <c r="D39" s="68" t="s">
        <v>241</v>
      </c>
      <c r="E39" s="27" t="s">
        <v>242</v>
      </c>
      <c r="F39" s="28" t="s">
        <v>243</v>
      </c>
      <c r="G39" s="29" t="s">
        <v>244</v>
      </c>
      <c r="H39" s="69" t="s">
        <v>76</v>
      </c>
      <c r="I39" s="69">
        <f t="shared" si="0"/>
        <v>1</v>
      </c>
      <c r="J39" s="67" t="s">
        <v>87</v>
      </c>
    </row>
    <row r="40" spans="2:10" ht="87" customHeight="1">
      <c r="B40" s="96"/>
      <c r="C40" s="96"/>
      <c r="D40" s="68" t="s">
        <v>245</v>
      </c>
      <c r="E40" s="27" t="s">
        <v>246</v>
      </c>
      <c r="F40" s="28" t="s">
        <v>247</v>
      </c>
      <c r="G40" s="29" t="s">
        <v>248</v>
      </c>
      <c r="H40" s="69" t="s">
        <v>76</v>
      </c>
      <c r="I40" s="69">
        <f t="shared" si="0"/>
        <v>1</v>
      </c>
      <c r="J40" s="67" t="s">
        <v>87</v>
      </c>
    </row>
    <row r="41" spans="2:10" ht="131.25" customHeight="1">
      <c r="B41" s="96"/>
      <c r="C41" s="96"/>
      <c r="D41" s="68" t="s">
        <v>249</v>
      </c>
      <c r="E41" s="27" t="s">
        <v>250</v>
      </c>
      <c r="F41" s="28" t="s">
        <v>251</v>
      </c>
      <c r="G41" s="29" t="s">
        <v>252</v>
      </c>
      <c r="H41" s="69" t="s">
        <v>76</v>
      </c>
      <c r="I41" s="69">
        <f t="shared" si="0"/>
        <v>1</v>
      </c>
      <c r="J41" s="67" t="s">
        <v>87</v>
      </c>
    </row>
    <row r="42" spans="2:10" ht="330.75" customHeight="1">
      <c r="B42" s="96"/>
      <c r="C42" s="96"/>
      <c r="D42" s="68" t="s">
        <v>253</v>
      </c>
      <c r="E42" s="27" t="s">
        <v>254</v>
      </c>
      <c r="F42" s="28" t="s">
        <v>255</v>
      </c>
      <c r="G42" s="29" t="s">
        <v>256</v>
      </c>
      <c r="H42" s="69" t="s">
        <v>76</v>
      </c>
      <c r="I42" s="69">
        <f t="shared" si="0"/>
        <v>1</v>
      </c>
      <c r="J42" s="67" t="s">
        <v>87</v>
      </c>
    </row>
    <row r="43" spans="2:10" ht="68.25" customHeight="1">
      <c r="B43" s="94" t="s">
        <v>257</v>
      </c>
      <c r="C43" s="95" t="s">
        <v>258</v>
      </c>
      <c r="D43" s="72" t="s">
        <v>253</v>
      </c>
      <c r="E43" s="58" t="s">
        <v>254</v>
      </c>
      <c r="F43" s="59" t="s">
        <v>255</v>
      </c>
      <c r="G43" s="60" t="s">
        <v>256</v>
      </c>
      <c r="H43" s="69" t="s">
        <v>76</v>
      </c>
      <c r="I43" s="71">
        <f t="shared" si="0"/>
        <v>1</v>
      </c>
      <c r="J43" s="71" t="s">
        <v>87</v>
      </c>
    </row>
    <row r="44" spans="2:10" ht="72" customHeight="1">
      <c r="B44" s="94"/>
      <c r="C44" s="94"/>
      <c r="D44" s="72" t="s">
        <v>259</v>
      </c>
      <c r="E44" s="58" t="s">
        <v>260</v>
      </c>
      <c r="F44" s="59" t="s">
        <v>261</v>
      </c>
      <c r="G44" s="60" t="s">
        <v>262</v>
      </c>
      <c r="H44" s="69" t="s">
        <v>76</v>
      </c>
      <c r="I44" s="71">
        <f t="shared" si="0"/>
        <v>1</v>
      </c>
      <c r="J44" s="71" t="s">
        <v>87</v>
      </c>
    </row>
    <row r="45" spans="2:10" ht="72" customHeight="1">
      <c r="B45" s="94"/>
      <c r="C45" s="94"/>
      <c r="D45" s="72" t="s">
        <v>263</v>
      </c>
      <c r="E45" s="58" t="s">
        <v>264</v>
      </c>
      <c r="F45" s="59" t="s">
        <v>265</v>
      </c>
      <c r="G45" s="60" t="s">
        <v>266</v>
      </c>
      <c r="H45" s="69" t="s">
        <v>76</v>
      </c>
      <c r="I45" s="71">
        <f t="shared" si="0"/>
        <v>1</v>
      </c>
      <c r="J45" s="71" t="s">
        <v>87</v>
      </c>
    </row>
    <row r="46" spans="2:10" ht="197.25" customHeight="1">
      <c r="B46" s="94"/>
      <c r="C46" s="94"/>
      <c r="D46" s="72" t="s">
        <v>267</v>
      </c>
      <c r="E46" s="58" t="s">
        <v>268</v>
      </c>
      <c r="F46" s="59" t="s">
        <v>269</v>
      </c>
      <c r="G46" s="60" t="s">
        <v>270</v>
      </c>
      <c r="H46" s="69" t="s">
        <v>76</v>
      </c>
      <c r="I46" s="71">
        <f t="shared" si="0"/>
        <v>1</v>
      </c>
      <c r="J46" s="71" t="s">
        <v>87</v>
      </c>
    </row>
    <row r="47" spans="2:10" ht="28.5" customHeight="1">
      <c r="B47" s="96" t="s">
        <v>271</v>
      </c>
      <c r="C47" s="97" t="s">
        <v>272</v>
      </c>
      <c r="D47" s="68" t="s">
        <v>273</v>
      </c>
      <c r="E47" s="58" t="s">
        <v>274</v>
      </c>
      <c r="F47" s="59" t="s">
        <v>275</v>
      </c>
      <c r="G47" s="60" t="s">
        <v>276</v>
      </c>
      <c r="H47" s="69" t="s">
        <v>76</v>
      </c>
      <c r="I47" s="69">
        <f t="shared" si="0"/>
        <v>1</v>
      </c>
      <c r="J47" s="67" t="s">
        <v>87</v>
      </c>
    </row>
    <row r="48" spans="2:10" ht="60">
      <c r="B48" s="96"/>
      <c r="C48" s="96"/>
      <c r="D48" s="68" t="s">
        <v>277</v>
      </c>
      <c r="E48" s="58" t="s">
        <v>278</v>
      </c>
      <c r="F48" s="59" t="s">
        <v>279</v>
      </c>
      <c r="G48" s="60" t="s">
        <v>280</v>
      </c>
      <c r="H48" s="69" t="s">
        <v>76</v>
      </c>
      <c r="I48" s="62"/>
      <c r="J48" s="67" t="s">
        <v>87</v>
      </c>
    </row>
    <row r="49" spans="2:10" ht="60">
      <c r="B49" s="96"/>
      <c r="C49" s="96"/>
      <c r="D49" s="68" t="s">
        <v>281</v>
      </c>
      <c r="E49" s="58" t="s">
        <v>282</v>
      </c>
      <c r="F49" s="59" t="s">
        <v>283</v>
      </c>
      <c r="G49" s="60" t="s">
        <v>284</v>
      </c>
      <c r="H49" s="69" t="s">
        <v>76</v>
      </c>
      <c r="I49" s="62"/>
      <c r="J49" s="67" t="s">
        <v>87</v>
      </c>
    </row>
    <row r="50" spans="2:10" ht="45">
      <c r="B50" s="96"/>
      <c r="C50" s="96"/>
      <c r="D50" s="68" t="s">
        <v>285</v>
      </c>
      <c r="E50" s="58" t="s">
        <v>286</v>
      </c>
      <c r="F50" s="59" t="s">
        <v>287</v>
      </c>
      <c r="G50" s="60" t="s">
        <v>288</v>
      </c>
      <c r="H50" s="69" t="s">
        <v>76</v>
      </c>
      <c r="I50" s="62"/>
      <c r="J50" s="67" t="s">
        <v>87</v>
      </c>
    </row>
    <row r="51" spans="2:10" ht="45.75" customHeight="1">
      <c r="B51" s="94" t="s">
        <v>289</v>
      </c>
      <c r="C51" s="95" t="s">
        <v>290</v>
      </c>
      <c r="D51" s="72" t="s">
        <v>291</v>
      </c>
      <c r="E51" s="58" t="s">
        <v>292</v>
      </c>
      <c r="F51" s="59" t="s">
        <v>293</v>
      </c>
      <c r="G51" s="60" t="s">
        <v>294</v>
      </c>
      <c r="H51" s="69" t="s">
        <v>76</v>
      </c>
      <c r="J51" s="71" t="s">
        <v>87</v>
      </c>
    </row>
    <row r="52" spans="2:10" ht="45">
      <c r="B52" s="94"/>
      <c r="C52" s="94"/>
      <c r="D52" s="72" t="s">
        <v>295</v>
      </c>
      <c r="E52" s="58" t="s">
        <v>296</v>
      </c>
      <c r="F52" s="59" t="s">
        <v>297</v>
      </c>
      <c r="G52" s="60" t="s">
        <v>298</v>
      </c>
      <c r="H52" s="69" t="s">
        <v>76</v>
      </c>
      <c r="J52" s="71" t="s">
        <v>87</v>
      </c>
    </row>
    <row r="53" spans="2:10" ht="45">
      <c r="B53" s="94"/>
      <c r="C53" s="94"/>
      <c r="D53" s="72" t="s">
        <v>299</v>
      </c>
      <c r="E53" s="58" t="s">
        <v>300</v>
      </c>
      <c r="F53" s="59" t="s">
        <v>301</v>
      </c>
      <c r="G53" s="60" t="s">
        <v>302</v>
      </c>
      <c r="H53" s="69" t="s">
        <v>76</v>
      </c>
      <c r="J53" s="71" t="s">
        <v>87</v>
      </c>
    </row>
    <row r="54" spans="2:10" ht="45">
      <c r="B54" s="94"/>
      <c r="C54" s="94"/>
      <c r="D54" s="72" t="s">
        <v>303</v>
      </c>
      <c r="E54" s="58" t="s">
        <v>304</v>
      </c>
      <c r="F54" s="59" t="s">
        <v>305</v>
      </c>
      <c r="G54" s="60" t="s">
        <v>306</v>
      </c>
      <c r="H54" s="69" t="s">
        <v>76</v>
      </c>
      <c r="J54" s="71" t="s">
        <v>87</v>
      </c>
    </row>
    <row r="55" spans="2:10" ht="45.75" customHeight="1">
      <c r="B55" s="96" t="s">
        <v>307</v>
      </c>
      <c r="C55" s="97" t="s">
        <v>308</v>
      </c>
      <c r="D55" s="68" t="s">
        <v>309</v>
      </c>
      <c r="E55" s="58" t="s">
        <v>310</v>
      </c>
      <c r="F55" s="59" t="s">
        <v>311</v>
      </c>
      <c r="G55" s="60" t="s">
        <v>312</v>
      </c>
      <c r="H55" s="69" t="s">
        <v>76</v>
      </c>
      <c r="J55" s="67" t="s">
        <v>87</v>
      </c>
    </row>
    <row r="56" spans="2:10" ht="45">
      <c r="B56" s="96"/>
      <c r="C56" s="96"/>
      <c r="D56" s="68" t="s">
        <v>313</v>
      </c>
      <c r="E56" s="58" t="s">
        <v>314</v>
      </c>
      <c r="F56" s="59" t="s">
        <v>315</v>
      </c>
      <c r="G56" s="60" t="s">
        <v>316</v>
      </c>
      <c r="H56" s="69" t="s">
        <v>76</v>
      </c>
      <c r="J56" s="67" t="s">
        <v>87</v>
      </c>
    </row>
    <row r="57" spans="2:10" ht="45">
      <c r="B57" s="96"/>
      <c r="C57" s="96"/>
      <c r="D57" s="68" t="s">
        <v>317</v>
      </c>
      <c r="E57" s="58" t="s">
        <v>318</v>
      </c>
      <c r="F57" s="59" t="s">
        <v>319</v>
      </c>
      <c r="G57" s="60" t="s">
        <v>320</v>
      </c>
      <c r="H57" s="69" t="s">
        <v>76</v>
      </c>
      <c r="J57" s="67" t="s">
        <v>87</v>
      </c>
    </row>
    <row r="58" spans="2:10" ht="27.75" customHeight="1">
      <c r="B58" s="94" t="s">
        <v>321</v>
      </c>
      <c r="C58" s="95" t="s">
        <v>322</v>
      </c>
      <c r="D58" s="72" t="s">
        <v>323</v>
      </c>
      <c r="E58" s="58" t="s">
        <v>304</v>
      </c>
      <c r="F58" s="59" t="s">
        <v>305</v>
      </c>
      <c r="G58" s="60" t="s">
        <v>306</v>
      </c>
      <c r="H58" s="69" t="s">
        <v>76</v>
      </c>
      <c r="J58" s="71" t="s">
        <v>87</v>
      </c>
    </row>
    <row r="59" spans="2:10" ht="45">
      <c r="B59" s="94"/>
      <c r="C59" s="94"/>
      <c r="D59" s="72" t="s">
        <v>324</v>
      </c>
      <c r="E59" s="58" t="s">
        <v>304</v>
      </c>
      <c r="F59" s="59" t="s">
        <v>305</v>
      </c>
      <c r="G59" s="60" t="s">
        <v>306</v>
      </c>
      <c r="H59" s="69" t="s">
        <v>76</v>
      </c>
      <c r="J59" s="71" t="s">
        <v>87</v>
      </c>
    </row>
    <row r="60" spans="2:10" ht="45">
      <c r="B60" s="94"/>
      <c r="C60" s="94"/>
      <c r="D60" s="72" t="s">
        <v>325</v>
      </c>
      <c r="E60" s="58" t="s">
        <v>304</v>
      </c>
      <c r="F60" s="59" t="s">
        <v>305</v>
      </c>
      <c r="G60" s="60" t="s">
        <v>306</v>
      </c>
      <c r="H60" s="69" t="s">
        <v>76</v>
      </c>
      <c r="J60" s="71" t="s">
        <v>87</v>
      </c>
    </row>
    <row r="61" spans="2:10">
      <c r="B61" s="74"/>
      <c r="C61" s="75"/>
      <c r="D61" s="75"/>
      <c r="E61" s="75"/>
      <c r="F61" s="75"/>
      <c r="G61" s="75"/>
      <c r="H61" s="76"/>
      <c r="I61" s="76"/>
      <c r="J61" s="75"/>
    </row>
  </sheetData>
  <autoFilter ref="B1:J60" xr:uid="{00000000-0001-0000-0300-000000000000}">
    <filterColumn colId="0" showButton="0"/>
    <filterColumn colId="1" showButton="0"/>
    <filterColumn colId="2" showButton="0"/>
    <filterColumn colId="3" showButton="0"/>
    <filterColumn colId="4" showButton="0"/>
    <filterColumn colId="5" showButton="0"/>
    <filterColumn colId="6" showButton="0"/>
    <filterColumn colId="7" showButton="0"/>
  </autoFilter>
  <mergeCells count="30">
    <mergeCell ref="B58:B60"/>
    <mergeCell ref="C58:C60"/>
    <mergeCell ref="B1:J1"/>
    <mergeCell ref="B2:J2"/>
    <mergeCell ref="C4:C7"/>
    <mergeCell ref="B4:B7"/>
    <mergeCell ref="B47:B50"/>
    <mergeCell ref="C47:C50"/>
    <mergeCell ref="B51:B54"/>
    <mergeCell ref="C51:C54"/>
    <mergeCell ref="B55:B57"/>
    <mergeCell ref="C55:C57"/>
    <mergeCell ref="B43:B46"/>
    <mergeCell ref="C43:C46"/>
    <mergeCell ref="B30:B34"/>
    <mergeCell ref="C30:C34"/>
    <mergeCell ref="B39:B42"/>
    <mergeCell ref="C39:C42"/>
    <mergeCell ref="B15:B18"/>
    <mergeCell ref="C15:C18"/>
    <mergeCell ref="B19:B23"/>
    <mergeCell ref="C19:C23"/>
    <mergeCell ref="B24:B29"/>
    <mergeCell ref="C24:C29"/>
    <mergeCell ref="B8:B10"/>
    <mergeCell ref="C8:C10"/>
    <mergeCell ref="B11:B14"/>
    <mergeCell ref="C11:C14"/>
    <mergeCell ref="B35:B38"/>
    <mergeCell ref="C35:C38"/>
  </mergeCells>
  <conditionalFormatting sqref="H5:I42 H58:H60 H4">
    <cfRule type="cellIs" dxfId="14" priority="20" operator="equal">
      <formula>"✅ Best Practice"</formula>
    </cfRule>
    <cfRule type="cellIs" dxfId="13" priority="21" operator="equal">
      <formula>"⚠️ Minimally Meets"</formula>
    </cfRule>
    <cfRule type="cellIs" dxfId="12" priority="22" operator="equal">
      <formula>"❌ Does Not Meet"</formula>
    </cfRule>
  </conditionalFormatting>
  <conditionalFormatting sqref="H43:H46">
    <cfRule type="cellIs" dxfId="11" priority="13" operator="equal">
      <formula>"✅ Best Practice"</formula>
    </cfRule>
    <cfRule type="cellIs" dxfId="10" priority="14" operator="equal">
      <formula>"⚠️ Minimally Meets"</formula>
    </cfRule>
    <cfRule type="cellIs" dxfId="9" priority="15" operator="equal">
      <formula>"❌ Does Not Meet"</formula>
    </cfRule>
  </conditionalFormatting>
  <conditionalFormatting sqref="H47:H50">
    <cfRule type="cellIs" dxfId="8" priority="10" operator="equal">
      <formula>"✅ Best Practice"</formula>
    </cfRule>
    <cfRule type="cellIs" dxfId="7" priority="11" operator="equal">
      <formula>"⚠️ Minimally Meets"</formula>
    </cfRule>
    <cfRule type="cellIs" dxfId="6" priority="12" operator="equal">
      <formula>"❌ Does Not Meet"</formula>
    </cfRule>
  </conditionalFormatting>
  <conditionalFormatting sqref="H51:H54">
    <cfRule type="cellIs" dxfId="5" priority="7" operator="equal">
      <formula>"✅ Best Practice"</formula>
    </cfRule>
    <cfRule type="cellIs" dxfId="4" priority="8" operator="equal">
      <formula>"⚠️ Minimally Meets"</formula>
    </cfRule>
    <cfRule type="cellIs" dxfId="3" priority="9" operator="equal">
      <formula>"❌ Does Not Meet"</formula>
    </cfRule>
  </conditionalFormatting>
  <conditionalFormatting sqref="H55:H57">
    <cfRule type="cellIs" dxfId="2" priority="4" operator="equal">
      <formula>"✅ Best Practice"</formula>
    </cfRule>
    <cfRule type="cellIs" dxfId="1" priority="5" operator="equal">
      <formula>"⚠️ Minimally Meets"</formula>
    </cfRule>
    <cfRule type="cellIs" dxfId="0" priority="6" operator="equal">
      <formula>"❌ Does Not Meet"</formula>
    </cfRule>
  </conditionalFormatting>
  <dataValidations count="3">
    <dataValidation type="list" allowBlank="1" showInputMessage="1" showErrorMessage="1" sqref="H4:I14 H19:I42 H43:H46" xr:uid="{00000000-0002-0000-0300-000000000000}">
      <formula1>"❌ Does Not Meet,⚠️ Minimally Meets,✅ Best Practice"</formula1>
      <formula2>0</formula2>
    </dataValidation>
    <dataValidation type="list" allowBlank="1" showInputMessage="1" showErrorMessage="1" sqref="H15:I18" xr:uid="{00000000-0002-0000-0300-000001000000}">
      <formula1>"❌ Does Not Meet,⚠️ Minimally Meets,✅ Best Practice,Not Applicable"</formula1>
      <formula2>0</formula2>
    </dataValidation>
    <dataValidation type="list" allowBlank="1" sqref="H47:H60" xr:uid="{60426F80-CF79-4F48-BF39-CD6DED523CF0}">
      <formula1>"✅ Best Practice,⚠️ Minimally Meets,❌ Does Not Meet,Not Applicable"</formula1>
      <formula2>0</formula2>
    </dataValidation>
  </dataValidations>
  <pageMargins left="0.7" right="0.7" top="0.75" bottom="0.75" header="0.3" footer="0.3"/>
  <pageSetup fitToHeight="0" orientation="landscape" horizontalDpi="300" verticalDpi="300"/>
  <headerFooter>
    <oddHeader>&amp;CBristlecone Pitch Check List - Detailed for $1M+ Deals</oddHeader>
    <oddFooter>&amp;CPage &amp;P of &amp;N&amp;RConfidential</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1:G24"/>
  <sheetViews>
    <sheetView zoomScaleNormal="100" workbookViewId="0">
      <selection activeCell="E27" sqref="E27"/>
    </sheetView>
  </sheetViews>
  <sheetFormatPr defaultColWidth="8.5703125" defaultRowHeight="15"/>
  <cols>
    <col min="1" max="1" width="4" customWidth="1"/>
    <col min="2" max="2" width="38" customWidth="1"/>
    <col min="3" max="5" width="14" customWidth="1"/>
    <col min="6" max="6" width="16" customWidth="1"/>
    <col min="7" max="7" width="40" customWidth="1"/>
  </cols>
  <sheetData>
    <row r="1" spans="2:7" ht="18" customHeight="1">
      <c r="B1" s="101" t="s">
        <v>326</v>
      </c>
      <c r="C1" s="101"/>
      <c r="D1" s="101"/>
      <c r="E1" s="101"/>
      <c r="F1" s="101"/>
      <c r="G1" s="101"/>
    </row>
    <row r="3" spans="2:7" ht="25.5" customHeight="1">
      <c r="B3" s="30" t="s">
        <v>72</v>
      </c>
      <c r="C3" s="30" t="s">
        <v>327</v>
      </c>
      <c r="D3" s="30" t="s">
        <v>328</v>
      </c>
      <c r="E3" s="30" t="s">
        <v>329</v>
      </c>
      <c r="F3" s="30" t="s">
        <v>330</v>
      </c>
      <c r="G3" s="30" t="s">
        <v>42</v>
      </c>
    </row>
    <row r="4" spans="2:7" ht="14.25" customHeight="1">
      <c r="B4" s="31" t="s">
        <v>81</v>
      </c>
      <c r="C4" s="32">
        <v>7.0000000000000007E-2</v>
      </c>
      <c r="D4" s="33"/>
      <c r="E4" s="32"/>
      <c r="F4" s="34"/>
      <c r="G4" s="31"/>
    </row>
    <row r="5" spans="2:7" ht="14.25" customHeight="1">
      <c r="B5" s="35" t="s">
        <v>100</v>
      </c>
      <c r="C5" s="36">
        <v>0.1</v>
      </c>
      <c r="D5" s="37"/>
      <c r="E5" s="36"/>
      <c r="F5" s="38"/>
      <c r="G5" s="35"/>
    </row>
    <row r="6" spans="2:7" ht="14.25" customHeight="1">
      <c r="B6" s="31" t="s">
        <v>114</v>
      </c>
      <c r="C6" s="32">
        <v>7.0000000000000007E-2</v>
      </c>
      <c r="D6" s="33"/>
      <c r="E6" s="32"/>
      <c r="F6" s="34"/>
      <c r="G6" s="31"/>
    </row>
    <row r="7" spans="2:7" ht="14.25" customHeight="1">
      <c r="B7" s="35" t="s">
        <v>132</v>
      </c>
      <c r="C7" s="36">
        <v>0.1</v>
      </c>
      <c r="D7" s="37"/>
      <c r="E7" s="36"/>
      <c r="F7" s="38"/>
      <c r="G7" s="35"/>
    </row>
    <row r="8" spans="2:7" ht="14.25" customHeight="1">
      <c r="B8" s="31" t="s">
        <v>151</v>
      </c>
      <c r="C8" s="32">
        <v>0.06</v>
      </c>
      <c r="D8" s="33"/>
      <c r="E8" s="32"/>
      <c r="F8" s="34"/>
      <c r="G8" s="31"/>
    </row>
    <row r="9" spans="2:7" ht="14.25" customHeight="1">
      <c r="B9" s="35" t="s">
        <v>173</v>
      </c>
      <c r="C9" s="36">
        <v>0.05</v>
      </c>
      <c r="D9" s="37"/>
      <c r="E9" s="36"/>
      <c r="F9" s="38"/>
      <c r="G9" s="35"/>
    </row>
    <row r="10" spans="2:7" ht="14.25" customHeight="1">
      <c r="B10" s="31" t="s">
        <v>199</v>
      </c>
      <c r="C10" s="32">
        <v>0.05</v>
      </c>
      <c r="D10" s="33"/>
      <c r="E10" s="32"/>
      <c r="F10" s="34"/>
      <c r="G10" s="31"/>
    </row>
    <row r="11" spans="2:7" ht="14.25" customHeight="1">
      <c r="B11" s="35" t="s">
        <v>221</v>
      </c>
      <c r="C11" s="36">
        <v>0.05</v>
      </c>
      <c r="D11" s="37"/>
      <c r="E11" s="36"/>
      <c r="F11" s="38"/>
      <c r="G11" s="35"/>
    </row>
    <row r="12" spans="2:7" ht="14.25" customHeight="1">
      <c r="B12" s="31" t="s">
        <v>239</v>
      </c>
      <c r="C12" s="32">
        <v>0.12</v>
      </c>
      <c r="D12" s="33"/>
      <c r="E12" s="32"/>
      <c r="F12" s="34"/>
      <c r="G12" s="31"/>
    </row>
    <row r="13" spans="2:7" ht="24.75" customHeight="1">
      <c r="B13" s="35" t="s">
        <v>257</v>
      </c>
      <c r="C13" s="36">
        <v>0.08</v>
      </c>
      <c r="D13" s="37"/>
      <c r="E13" s="36"/>
      <c r="F13" s="38"/>
      <c r="G13" s="35"/>
    </row>
    <row r="14" spans="2:7" ht="24.75" customHeight="1">
      <c r="B14" s="31" t="s">
        <v>271</v>
      </c>
      <c r="C14" s="36">
        <v>7.0000000000000007E-2</v>
      </c>
      <c r="D14" s="37"/>
      <c r="E14" s="36"/>
      <c r="F14" s="38"/>
      <c r="G14" s="35"/>
    </row>
    <row r="15" spans="2:7" ht="14.25" customHeight="1">
      <c r="B15" s="35" t="s">
        <v>289</v>
      </c>
      <c r="C15" s="77">
        <v>0.08</v>
      </c>
      <c r="D15" s="78"/>
      <c r="E15" s="77"/>
      <c r="F15" s="79"/>
      <c r="G15" s="80"/>
    </row>
    <row r="16" spans="2:7" ht="24.75" customHeight="1">
      <c r="B16" s="31" t="s">
        <v>307</v>
      </c>
      <c r="C16" s="77">
        <v>7.0000000000000007E-2</v>
      </c>
      <c r="D16" s="78"/>
      <c r="E16" s="77"/>
      <c r="F16" s="79"/>
      <c r="G16" s="80"/>
    </row>
    <row r="17" spans="2:7" ht="14.25" customHeight="1">
      <c r="B17" s="35" t="s">
        <v>321</v>
      </c>
      <c r="C17" s="77">
        <v>0.03</v>
      </c>
      <c r="D17" s="78"/>
      <c r="E17" s="77"/>
      <c r="F17" s="79"/>
      <c r="G17" s="80"/>
    </row>
    <row r="18" spans="2:7" ht="14.25" customHeight="1">
      <c r="B18" s="39" t="s">
        <v>57</v>
      </c>
      <c r="C18" s="40">
        <f>SUM(C4:C17)</f>
        <v>1</v>
      </c>
      <c r="D18" s="41"/>
      <c r="E18" s="41"/>
      <c r="F18" s="42">
        <f>SUM(F4:F17)</f>
        <v>0</v>
      </c>
      <c r="G18" s="39" t="s">
        <v>331</v>
      </c>
    </row>
    <row r="20" spans="2:7" ht="15" customHeight="1">
      <c r="B20" s="102" t="str">
        <f>IF(F18&gt;=0.8,"✅ SUBMISSION-READY (≥80%)",IF(F18&gt;=0.6,"⚠️ NEEDS WORK (60-79%) — address High/Critical gaps",IF(F18&gt;0,"❌ NOT READY (&lt;60%) — major rework required","— awaiting ratings —")))</f>
        <v>— awaiting ratings —</v>
      </c>
      <c r="C20" s="102"/>
      <c r="D20" s="102"/>
      <c r="E20" s="102"/>
      <c r="F20" s="102"/>
      <c r="G20" s="102"/>
    </row>
    <row r="22" spans="2:7" ht="14.25" customHeight="1">
      <c r="B22" s="103" t="s">
        <v>332</v>
      </c>
      <c r="C22" s="103"/>
      <c r="D22" s="103"/>
      <c r="E22" s="103"/>
      <c r="F22" s="103"/>
      <c r="G22" s="103"/>
    </row>
    <row r="23" spans="2:7" ht="14.25" customHeight="1">
      <c r="B23" s="103"/>
      <c r="C23" s="103"/>
      <c r="D23" s="103"/>
      <c r="E23" s="103"/>
      <c r="F23" s="103"/>
      <c r="G23" s="103"/>
    </row>
    <row r="24" spans="2:7" ht="14.25" customHeight="1">
      <c r="B24" s="103"/>
      <c r="C24" s="103"/>
      <c r="D24" s="103"/>
      <c r="E24" s="103"/>
      <c r="F24" s="103"/>
      <c r="G24" s="103"/>
    </row>
  </sheetData>
  <mergeCells count="3">
    <mergeCell ref="B1:G1"/>
    <mergeCell ref="B20:G20"/>
    <mergeCell ref="B22:G2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97132"/>
  </sheetPr>
  <dimension ref="A1:H10"/>
  <sheetViews>
    <sheetView showGridLines="0" zoomScale="70" zoomScaleNormal="70" workbookViewId="0">
      <pane xSplit="1" ySplit="1" topLeftCell="B5" activePane="bottomRight" state="frozen"/>
      <selection pane="bottomRight" activeCell="E5" sqref="E5"/>
      <selection pane="bottomLeft" activeCell="A2" sqref="A2"/>
      <selection pane="topRight" activeCell="B1" sqref="B1"/>
    </sheetView>
  </sheetViews>
  <sheetFormatPr defaultColWidth="8.5703125" defaultRowHeight="15"/>
  <cols>
    <col min="1" max="1" width="14.42578125" customWidth="1"/>
    <col min="2" max="2" width="53.42578125" customWidth="1"/>
    <col min="3" max="3" width="18.7109375" customWidth="1"/>
    <col min="4" max="6" width="30" customWidth="1"/>
    <col min="7" max="7" width="18.7109375" customWidth="1"/>
    <col min="8" max="8" width="44.42578125" customWidth="1"/>
  </cols>
  <sheetData>
    <row r="1" spans="1:8" ht="15" customHeight="1">
      <c r="A1" s="2" t="s">
        <v>72</v>
      </c>
      <c r="B1" s="2" t="s">
        <v>73</v>
      </c>
      <c r="C1" s="2" t="s">
        <v>74</v>
      </c>
      <c r="D1" s="2" t="s">
        <v>75</v>
      </c>
      <c r="E1" s="2" t="s">
        <v>76</v>
      </c>
      <c r="F1" s="2" t="s">
        <v>77</v>
      </c>
      <c r="G1" s="12" t="s">
        <v>78</v>
      </c>
      <c r="H1" s="2" t="s">
        <v>80</v>
      </c>
    </row>
    <row r="2" spans="1:8" ht="120" customHeight="1">
      <c r="A2" s="104" t="s">
        <v>333</v>
      </c>
      <c r="B2" s="105" t="s">
        <v>334</v>
      </c>
      <c r="C2" s="43" t="s">
        <v>335</v>
      </c>
      <c r="D2" s="44" t="s">
        <v>336</v>
      </c>
      <c r="E2" s="45" t="s">
        <v>337</v>
      </c>
      <c r="F2" s="46" t="s">
        <v>338</v>
      </c>
      <c r="G2" s="47"/>
      <c r="H2" s="48" t="s">
        <v>87</v>
      </c>
    </row>
    <row r="3" spans="1:8" ht="63.75" customHeight="1">
      <c r="A3" s="104"/>
      <c r="B3" s="105"/>
      <c r="C3" s="49" t="s">
        <v>339</v>
      </c>
      <c r="D3" s="26" t="s">
        <v>340</v>
      </c>
      <c r="E3" s="24" t="s">
        <v>341</v>
      </c>
      <c r="F3" s="22" t="s">
        <v>342</v>
      </c>
      <c r="G3" s="50"/>
      <c r="H3" s="51" t="s">
        <v>87</v>
      </c>
    </row>
    <row r="4" spans="1:8" ht="63.75" customHeight="1">
      <c r="A4" s="104"/>
      <c r="B4" s="105"/>
      <c r="C4" s="49" t="s">
        <v>343</v>
      </c>
      <c r="D4" s="26" t="s">
        <v>344</v>
      </c>
      <c r="E4" s="24" t="s">
        <v>345</v>
      </c>
      <c r="F4" s="22" t="s">
        <v>346</v>
      </c>
      <c r="G4" s="50"/>
      <c r="H4" s="51" t="s">
        <v>87</v>
      </c>
    </row>
    <row r="5" spans="1:8" ht="120" customHeight="1">
      <c r="A5" s="104" t="s">
        <v>347</v>
      </c>
      <c r="B5" s="105" t="s">
        <v>348</v>
      </c>
      <c r="C5" s="43" t="s">
        <v>349</v>
      </c>
      <c r="D5" s="44" t="s">
        <v>350</v>
      </c>
      <c r="E5" s="45" t="s">
        <v>351</v>
      </c>
      <c r="F5" s="46" t="s">
        <v>352</v>
      </c>
      <c r="G5" s="47"/>
      <c r="H5" s="48" t="s">
        <v>87</v>
      </c>
    </row>
    <row r="6" spans="1:8" ht="63.75" customHeight="1">
      <c r="A6" s="104"/>
      <c r="B6" s="105"/>
      <c r="C6" s="49" t="s">
        <v>353</v>
      </c>
      <c r="D6" s="26" t="s">
        <v>354</v>
      </c>
      <c r="E6" s="24" t="s">
        <v>355</v>
      </c>
      <c r="F6" s="22" t="s">
        <v>356</v>
      </c>
      <c r="G6" s="50"/>
      <c r="H6" s="51" t="s">
        <v>87</v>
      </c>
    </row>
    <row r="7" spans="1:8" ht="63.75" customHeight="1">
      <c r="A7" s="104"/>
      <c r="B7" s="105"/>
      <c r="C7" s="49" t="s">
        <v>357</v>
      </c>
      <c r="D7" s="26" t="s">
        <v>358</v>
      </c>
      <c r="E7" s="24" t="s">
        <v>359</v>
      </c>
      <c r="F7" s="22" t="s">
        <v>360</v>
      </c>
      <c r="G7" s="50"/>
      <c r="H7" s="51" t="s">
        <v>87</v>
      </c>
    </row>
    <row r="8" spans="1:8" ht="120" customHeight="1">
      <c r="A8" s="104" t="s">
        <v>361</v>
      </c>
      <c r="B8" s="105" t="s">
        <v>362</v>
      </c>
      <c r="C8" s="43" t="s">
        <v>363</v>
      </c>
      <c r="D8" s="44" t="s">
        <v>364</v>
      </c>
      <c r="E8" s="45" t="s">
        <v>365</v>
      </c>
      <c r="F8" s="46" t="s">
        <v>366</v>
      </c>
      <c r="G8" s="47"/>
      <c r="H8" s="48" t="s">
        <v>87</v>
      </c>
    </row>
    <row r="9" spans="1:8" ht="63.75" customHeight="1">
      <c r="A9" s="104"/>
      <c r="B9" s="105"/>
      <c r="C9" s="49" t="s">
        <v>367</v>
      </c>
      <c r="D9" s="26" t="s">
        <v>368</v>
      </c>
      <c r="E9" s="24" t="s">
        <v>369</v>
      </c>
      <c r="F9" s="22" t="s">
        <v>370</v>
      </c>
      <c r="G9" s="50"/>
      <c r="H9" s="51" t="s">
        <v>87</v>
      </c>
    </row>
    <row r="10" spans="1:8" ht="63.75" customHeight="1">
      <c r="A10" s="104"/>
      <c r="B10" s="105"/>
      <c r="C10" s="49" t="s">
        <v>371</v>
      </c>
      <c r="D10" s="26" t="s">
        <v>372</v>
      </c>
      <c r="E10" s="24" t="s">
        <v>373</v>
      </c>
      <c r="F10" s="22" t="s">
        <v>374</v>
      </c>
      <c r="G10" s="50"/>
      <c r="H10" s="51" t="s">
        <v>87</v>
      </c>
    </row>
  </sheetData>
  <mergeCells count="6">
    <mergeCell ref="A2:A4"/>
    <mergeCell ref="B2:B4"/>
    <mergeCell ref="A5:A7"/>
    <mergeCell ref="B5:B7"/>
    <mergeCell ref="A8:A10"/>
    <mergeCell ref="B8:B10"/>
  </mergeCells>
  <dataValidations count="1">
    <dataValidation type="list" allowBlank="1" sqref="G2:G10" xr:uid="{00000000-0002-0000-0600-000000000000}">
      <formula1>"❌ Does Not Meet,⚠️ Minimally Meets,✅ Best Practice"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02B93"/>
  </sheetPr>
  <dimension ref="A1:H29"/>
  <sheetViews>
    <sheetView showGridLines="0" zoomScale="85" zoomScaleNormal="85" workbookViewId="0">
      <pane xSplit="2" ySplit="3" topLeftCell="C4" activePane="bottomRight" state="frozen"/>
      <selection pane="bottomRight" activeCell="F8" sqref="F8"/>
      <selection pane="bottomLeft" activeCell="A4" sqref="A4"/>
      <selection pane="topRight" activeCell="C1" sqref="C1"/>
    </sheetView>
  </sheetViews>
  <sheetFormatPr defaultColWidth="8.5703125" defaultRowHeight="15"/>
  <cols>
    <col min="1" max="1" width="3" customWidth="1"/>
    <col min="2" max="2" width="28" customWidth="1"/>
    <col min="3" max="8" width="26" customWidth="1"/>
  </cols>
  <sheetData>
    <row r="1" spans="1:8" ht="27.75" customHeight="1">
      <c r="A1" s="108" t="s">
        <v>375</v>
      </c>
      <c r="B1" s="108"/>
      <c r="C1" s="108"/>
      <c r="D1" s="108"/>
      <c r="E1" s="108"/>
      <c r="F1" s="108"/>
      <c r="G1" s="108"/>
      <c r="H1" s="108"/>
    </row>
    <row r="2" spans="1:8" ht="19.5" customHeight="1">
      <c r="A2" s="109" t="s">
        <v>376</v>
      </c>
      <c r="B2" s="109"/>
      <c r="C2" s="109"/>
      <c r="D2" s="109"/>
      <c r="E2" s="109"/>
      <c r="F2" s="109"/>
      <c r="G2" s="109"/>
      <c r="H2" s="109"/>
    </row>
    <row r="3" spans="1:8" ht="21.75" customHeight="1">
      <c r="B3" s="52" t="s">
        <v>377</v>
      </c>
      <c r="C3" s="53" t="s">
        <v>378</v>
      </c>
      <c r="D3" s="53" t="s">
        <v>379</v>
      </c>
      <c r="E3" s="53" t="s">
        <v>380</v>
      </c>
      <c r="F3" s="53" t="s">
        <v>381</v>
      </c>
      <c r="G3" s="53" t="s">
        <v>382</v>
      </c>
      <c r="H3" s="53" t="s">
        <v>383</v>
      </c>
    </row>
    <row r="4" spans="1:8" ht="21.75" customHeight="1">
      <c r="A4" s="110" t="s">
        <v>384</v>
      </c>
      <c r="B4" s="110"/>
      <c r="C4" s="110"/>
      <c r="D4" s="110"/>
      <c r="E4" s="110"/>
      <c r="F4" s="110"/>
      <c r="G4" s="110"/>
      <c r="H4" s="110"/>
    </row>
    <row r="5" spans="1:8" ht="51.75" customHeight="1">
      <c r="A5" s="54"/>
      <c r="B5" s="55" t="s">
        <v>32</v>
      </c>
      <c r="C5" s="56"/>
      <c r="D5" s="56"/>
      <c r="E5" s="56"/>
      <c r="F5" s="56"/>
      <c r="G5" s="56"/>
      <c r="H5" s="56"/>
    </row>
    <row r="6" spans="1:8" ht="51.75" customHeight="1">
      <c r="A6" s="54"/>
      <c r="B6" s="55" t="s">
        <v>385</v>
      </c>
      <c r="C6" s="56"/>
      <c r="D6" s="56"/>
      <c r="E6" s="56"/>
      <c r="F6" s="56"/>
      <c r="G6" s="56"/>
      <c r="H6" s="56"/>
    </row>
    <row r="7" spans="1:8" ht="51.75" customHeight="1">
      <c r="A7" s="54"/>
      <c r="B7" s="55" t="s">
        <v>386</v>
      </c>
      <c r="C7" s="56"/>
      <c r="D7" s="56"/>
      <c r="E7" s="56"/>
      <c r="F7" s="56"/>
      <c r="G7" s="56"/>
      <c r="H7" s="56"/>
    </row>
    <row r="8" spans="1:8" ht="51.75" customHeight="1">
      <c r="A8" s="54"/>
      <c r="B8" s="55" t="s">
        <v>387</v>
      </c>
      <c r="C8" s="56"/>
      <c r="D8" s="56"/>
      <c r="E8" s="56"/>
      <c r="F8" s="56"/>
      <c r="G8" s="56"/>
      <c r="H8" s="56"/>
    </row>
    <row r="9" spans="1:8" ht="51.75" customHeight="1">
      <c r="A9" s="54"/>
      <c r="B9" s="55" t="s">
        <v>388</v>
      </c>
      <c r="C9" s="56"/>
      <c r="D9" s="56"/>
      <c r="E9" s="56"/>
      <c r="F9" s="56"/>
      <c r="G9" s="56"/>
      <c r="H9" s="56"/>
    </row>
    <row r="10" spans="1:8" ht="21.75" customHeight="1">
      <c r="A10" s="111" t="s">
        <v>389</v>
      </c>
      <c r="B10" s="111"/>
      <c r="C10" s="111"/>
      <c r="D10" s="111"/>
      <c r="E10" s="111"/>
      <c r="F10" s="111"/>
      <c r="G10" s="111"/>
      <c r="H10" s="111"/>
    </row>
    <row r="11" spans="1:8" ht="51.75" customHeight="1">
      <c r="A11" s="54"/>
      <c r="B11" s="55" t="s">
        <v>390</v>
      </c>
      <c r="C11" s="56"/>
      <c r="D11" s="56"/>
      <c r="E11" s="56"/>
      <c r="F11" s="56"/>
      <c r="G11" s="56"/>
      <c r="H11" s="56"/>
    </row>
    <row r="12" spans="1:8" ht="51.75" customHeight="1">
      <c r="A12" s="54"/>
      <c r="B12" s="55" t="s">
        <v>391</v>
      </c>
      <c r="C12" s="56"/>
      <c r="D12" s="56"/>
      <c r="E12" s="56"/>
      <c r="F12" s="56"/>
      <c r="G12" s="56"/>
      <c r="H12" s="56"/>
    </row>
    <row r="13" spans="1:8" ht="51.75" customHeight="1">
      <c r="A13" s="54"/>
      <c r="B13" s="55" t="s">
        <v>392</v>
      </c>
      <c r="C13" s="56"/>
      <c r="D13" s="56"/>
      <c r="E13" s="56"/>
      <c r="F13" s="56"/>
      <c r="G13" s="56"/>
      <c r="H13" s="56"/>
    </row>
    <row r="14" spans="1:8" ht="51.75" customHeight="1">
      <c r="A14" s="54"/>
      <c r="B14" s="55" t="s">
        <v>393</v>
      </c>
      <c r="C14" s="56"/>
      <c r="D14" s="56"/>
      <c r="E14" s="56"/>
      <c r="F14" s="56"/>
      <c r="G14" s="56"/>
      <c r="H14" s="56"/>
    </row>
    <row r="15" spans="1:8" ht="21.75" customHeight="1">
      <c r="A15" s="112" t="s">
        <v>394</v>
      </c>
      <c r="B15" s="112"/>
      <c r="C15" s="112"/>
      <c r="D15" s="112"/>
      <c r="E15" s="112"/>
      <c r="F15" s="112"/>
      <c r="G15" s="112"/>
      <c r="H15" s="112"/>
    </row>
    <row r="16" spans="1:8" ht="51.75" customHeight="1">
      <c r="A16" s="54"/>
      <c r="B16" s="55" t="s">
        <v>395</v>
      </c>
      <c r="C16" s="56"/>
      <c r="D16" s="56"/>
      <c r="E16" s="56"/>
      <c r="F16" s="56"/>
      <c r="G16" s="56"/>
      <c r="H16" s="56"/>
    </row>
    <row r="17" spans="1:8" ht="51.75" customHeight="1">
      <c r="A17" s="54"/>
      <c r="B17" s="55" t="s">
        <v>396</v>
      </c>
      <c r="C17" s="56"/>
      <c r="D17" s="56"/>
      <c r="E17" s="56"/>
      <c r="F17" s="56"/>
      <c r="G17" s="56"/>
      <c r="H17" s="56"/>
    </row>
    <row r="18" spans="1:8" ht="21.75" customHeight="1">
      <c r="A18" s="106" t="s">
        <v>397</v>
      </c>
      <c r="B18" s="106"/>
      <c r="C18" s="106"/>
      <c r="D18" s="106"/>
      <c r="E18" s="106"/>
      <c r="F18" s="106"/>
      <c r="G18" s="106"/>
      <c r="H18" s="106"/>
    </row>
    <row r="19" spans="1:8" ht="51.75" customHeight="1">
      <c r="A19" s="54"/>
      <c r="B19" s="55" t="s">
        <v>398</v>
      </c>
      <c r="C19" s="56"/>
      <c r="D19" s="56"/>
      <c r="E19" s="56"/>
      <c r="F19" s="56"/>
      <c r="G19" s="56"/>
      <c r="H19" s="56"/>
    </row>
    <row r="20" spans="1:8" ht="51.75" customHeight="1">
      <c r="A20" s="54"/>
      <c r="B20" s="55" t="s">
        <v>399</v>
      </c>
      <c r="C20" s="56"/>
      <c r="D20" s="56"/>
      <c r="E20" s="56"/>
      <c r="F20" s="56"/>
      <c r="G20" s="56"/>
      <c r="H20" s="56"/>
    </row>
    <row r="21" spans="1:8" ht="51.75" customHeight="1">
      <c r="A21" s="54"/>
      <c r="B21" s="55" t="s">
        <v>400</v>
      </c>
      <c r="C21" s="56"/>
      <c r="D21" s="56"/>
      <c r="E21" s="56"/>
      <c r="F21" s="56"/>
      <c r="G21" s="56"/>
      <c r="H21" s="56"/>
    </row>
    <row r="22" spans="1:8" ht="21.75" customHeight="1">
      <c r="A22" s="107" t="s">
        <v>401</v>
      </c>
      <c r="B22" s="107"/>
      <c r="C22" s="107"/>
      <c r="D22" s="107"/>
      <c r="E22" s="107"/>
      <c r="F22" s="107"/>
      <c r="G22" s="107"/>
      <c r="H22" s="107"/>
    </row>
    <row r="23" spans="1:8" ht="51.75" customHeight="1">
      <c r="A23" s="54"/>
      <c r="B23" s="55" t="s">
        <v>402</v>
      </c>
      <c r="C23" s="56"/>
      <c r="D23" s="56"/>
      <c r="E23" s="56"/>
      <c r="F23" s="56"/>
      <c r="G23" s="56"/>
      <c r="H23" s="56"/>
    </row>
    <row r="24" spans="1:8" ht="51.75" customHeight="1">
      <c r="A24" s="54"/>
      <c r="B24" s="55" t="s">
        <v>403</v>
      </c>
      <c r="C24" s="56"/>
      <c r="D24" s="56"/>
      <c r="E24" s="56"/>
      <c r="F24" s="56"/>
      <c r="G24" s="56"/>
      <c r="H24" s="56"/>
    </row>
    <row r="25" spans="1:8" ht="51.75" customHeight="1">
      <c r="A25" s="54"/>
      <c r="B25" s="55" t="s">
        <v>404</v>
      </c>
      <c r="C25" s="56"/>
      <c r="D25" s="56"/>
      <c r="E25" s="56"/>
      <c r="F25" s="56"/>
      <c r="G25" s="56"/>
      <c r="H25" s="56"/>
    </row>
    <row r="26" spans="1:8" ht="18.75" customHeight="1"/>
    <row r="27" spans="1:8" ht="33.75" customHeight="1"/>
    <row r="28" spans="1:8" ht="33.75" customHeight="1"/>
    <row r="29" spans="1:8" ht="33.75" customHeight="1"/>
  </sheetData>
  <mergeCells count="7">
    <mergeCell ref="A18:H18"/>
    <mergeCell ref="A22:H22"/>
    <mergeCell ref="A1:H1"/>
    <mergeCell ref="A2:H2"/>
    <mergeCell ref="A4:H4"/>
    <mergeCell ref="A10:H10"/>
    <mergeCell ref="A15:H15"/>
  </mergeCells>
  <dataValidations count="1">
    <dataValidation type="list" allowBlank="1" sqref="C6" xr:uid="{00000000-0002-0000-0700-000000000000}">
      <formula1>"Won,Lost,No-decision"</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F9ED5"/>
  </sheetPr>
  <dimension ref="A1:J7"/>
  <sheetViews>
    <sheetView showGridLines="0" zoomScale="80" zoomScaleNormal="80" workbookViewId="0">
      <pane ySplit="3" topLeftCell="A4" activePane="bottomLeft" state="frozen"/>
      <selection pane="bottomLeft" activeCell="F14" sqref="F14"/>
    </sheetView>
  </sheetViews>
  <sheetFormatPr defaultColWidth="8.5703125" defaultRowHeight="15"/>
  <cols>
    <col min="1" max="1" width="10" customWidth="1"/>
    <col min="2" max="2" width="30" customWidth="1"/>
    <col min="3" max="3" width="16" customWidth="1"/>
    <col min="4" max="4" width="22" customWidth="1"/>
    <col min="5" max="5" width="24" customWidth="1"/>
    <col min="6" max="6" width="34" customWidth="1"/>
    <col min="7" max="7" width="16" customWidth="1"/>
    <col min="8" max="8" width="14" customWidth="1"/>
    <col min="9" max="9" width="18" customWidth="1"/>
    <col min="10" max="10" width="28" customWidth="1"/>
  </cols>
  <sheetData>
    <row r="1" spans="1:10" ht="25.5" customHeight="1">
      <c r="A1" s="88" t="s">
        <v>20</v>
      </c>
      <c r="B1" s="88"/>
      <c r="C1" s="88"/>
      <c r="D1" s="88"/>
      <c r="E1" s="88"/>
      <c r="F1" s="88"/>
      <c r="G1" s="88"/>
      <c r="H1" s="88"/>
      <c r="I1" s="88"/>
      <c r="J1" s="88"/>
    </row>
    <row r="2" spans="1:10" ht="15.75" customHeight="1">
      <c r="A2" s="82" t="s">
        <v>405</v>
      </c>
      <c r="B2" s="82"/>
      <c r="C2" s="82"/>
      <c r="D2" s="82"/>
      <c r="E2" s="82"/>
      <c r="F2" s="82"/>
      <c r="G2" s="82"/>
      <c r="H2" s="82"/>
      <c r="I2" s="82"/>
      <c r="J2" s="82"/>
    </row>
    <row r="3" spans="1:10" ht="30" customHeight="1">
      <c r="A3" s="12" t="s">
        <v>406</v>
      </c>
      <c r="B3" s="12" t="s">
        <v>407</v>
      </c>
      <c r="C3" s="12" t="s">
        <v>408</v>
      </c>
      <c r="D3" s="12" t="s">
        <v>409</v>
      </c>
      <c r="E3" s="12" t="s">
        <v>410</v>
      </c>
      <c r="F3" s="12" t="s">
        <v>411</v>
      </c>
      <c r="G3" s="12" t="s">
        <v>412</v>
      </c>
      <c r="H3" s="12" t="s">
        <v>413</v>
      </c>
      <c r="I3" s="12" t="s">
        <v>414</v>
      </c>
      <c r="J3" s="12" t="s">
        <v>415</v>
      </c>
    </row>
    <row r="4" spans="1:10" ht="30" customHeight="1">
      <c r="A4" s="13" t="s">
        <v>416</v>
      </c>
      <c r="B4" s="57" t="s">
        <v>417</v>
      </c>
      <c r="C4" s="13" t="s">
        <v>418</v>
      </c>
      <c r="D4" s="57" t="s">
        <v>419</v>
      </c>
      <c r="E4" s="57" t="s">
        <v>420</v>
      </c>
      <c r="F4" s="57" t="s">
        <v>421</v>
      </c>
      <c r="G4" s="57" t="s">
        <v>422</v>
      </c>
      <c r="H4" s="57" t="s">
        <v>423</v>
      </c>
      <c r="I4" s="13"/>
      <c r="J4" s="57" t="s">
        <v>424</v>
      </c>
    </row>
    <row r="5" spans="1:10" ht="30" customHeight="1">
      <c r="A5" s="13" t="s">
        <v>425</v>
      </c>
      <c r="B5" s="57" t="s">
        <v>426</v>
      </c>
      <c r="C5" s="13" t="s">
        <v>427</v>
      </c>
      <c r="D5" s="57" t="s">
        <v>428</v>
      </c>
      <c r="E5" s="57" t="s">
        <v>429</v>
      </c>
      <c r="F5" s="57" t="s">
        <v>430</v>
      </c>
      <c r="G5" s="57" t="s">
        <v>422</v>
      </c>
      <c r="H5" s="57" t="s">
        <v>423</v>
      </c>
      <c r="I5" s="13"/>
      <c r="J5" s="57" t="s">
        <v>424</v>
      </c>
    </row>
    <row r="6" spans="1:10" ht="30" customHeight="1">
      <c r="A6" s="13" t="s">
        <v>431</v>
      </c>
      <c r="B6" s="57" t="s">
        <v>432</v>
      </c>
      <c r="C6" s="13" t="s">
        <v>433</v>
      </c>
      <c r="D6" s="57" t="s">
        <v>428</v>
      </c>
      <c r="E6" s="57" t="s">
        <v>429</v>
      </c>
      <c r="F6" s="57" t="s">
        <v>434</v>
      </c>
      <c r="G6" s="57" t="s">
        <v>422</v>
      </c>
      <c r="H6" s="57" t="s">
        <v>423</v>
      </c>
      <c r="I6" s="13"/>
      <c r="J6" s="57" t="s">
        <v>424</v>
      </c>
    </row>
    <row r="7" spans="1:10" ht="30" customHeight="1">
      <c r="A7" s="13" t="s">
        <v>435</v>
      </c>
      <c r="B7" s="57" t="s">
        <v>436</v>
      </c>
      <c r="C7" s="13" t="s">
        <v>437</v>
      </c>
      <c r="D7" s="57" t="s">
        <v>438</v>
      </c>
      <c r="E7" s="57" t="s">
        <v>429</v>
      </c>
      <c r="F7" s="57" t="s">
        <v>439</v>
      </c>
      <c r="G7" s="57" t="s">
        <v>422</v>
      </c>
      <c r="H7" s="57" t="s">
        <v>423</v>
      </c>
      <c r="I7" s="13"/>
      <c r="J7" s="57" t="s">
        <v>424</v>
      </c>
    </row>
  </sheetData>
  <mergeCells count="2">
    <mergeCell ref="A1:J1"/>
    <mergeCell ref="A2:J2"/>
  </mergeCells>
  <dataValidations count="2">
    <dataValidation type="list" allowBlank="1" sqref="C4:C19" xr:uid="{00000000-0002-0000-0800-000000000000}">
      <formula1>"Case Study,Bio,Accelerator,PoV / Thought Leadership,Template,Reference"</formula1>
      <formula2>0</formula2>
    </dataValidation>
    <dataValidation type="list" allowBlank="1" sqref="I4:I19" xr:uid="{00000000-0002-0000-0800-000001000000}">
      <formula1>"Yes,No,Pending"</formula1>
      <formula2>0</formula2>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03F47929AF024F81CF650C2EB29BF4" ma:contentTypeVersion="3" ma:contentTypeDescription="Create a new document." ma:contentTypeScope="" ma:versionID="1f61bea3eef5c949a5a6c2accd7ece9c">
  <xsd:schema xmlns:xsd="http://www.w3.org/2001/XMLSchema" xmlns:xs="http://www.w3.org/2001/XMLSchema" xmlns:p="http://schemas.microsoft.com/office/2006/metadata/properties" xmlns:ns2="b87afd08-ccac-4a9c-9600-48d03607f094" targetNamespace="http://schemas.microsoft.com/office/2006/metadata/properties" ma:root="true" ma:fieldsID="aa94bd350fdb0ba85c94dd7b7e06afb6" ns2:_="">
    <xsd:import namespace="b87afd08-ccac-4a9c-9600-48d03607f0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7afd08-ccac-4a9c-9600-48d03607f0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1D8ABE-CD16-43D8-922B-6125E73862D3}"/>
</file>

<file path=customXml/itemProps2.xml><?xml version="1.0" encoding="utf-8"?>
<ds:datastoreItem xmlns:ds="http://schemas.openxmlformats.org/officeDocument/2006/customXml" ds:itemID="{4D4F91B4-BFF3-45CA-A1A2-7363648B894B}"/>
</file>

<file path=customXml/itemProps3.xml><?xml version="1.0" encoding="utf-8"?>
<ds:datastoreItem xmlns:ds="http://schemas.openxmlformats.org/officeDocument/2006/customXml" ds:itemID="{5BFFEF25-7033-4E90-A018-0F984715EC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Chew</dc:creator>
  <cp:keywords/>
  <dc:description/>
  <cp:lastModifiedBy/>
  <cp:revision>0</cp:revision>
  <dcterms:created xsi:type="dcterms:W3CDTF">2025-01-29T17:34:18Z</dcterms:created>
  <dcterms:modified xsi:type="dcterms:W3CDTF">2026-07-29T08:35:18Z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0x0101007B03F47929AF024F81CF650C2EB29BF4</vt:lpwstr>
  </property>
</Properties>
</file>