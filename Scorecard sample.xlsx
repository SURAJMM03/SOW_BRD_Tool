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riya.jain\Downloads\"/>
    </mc:Choice>
  </mc:AlternateContent>
  <xr:revisionPtr revIDLastSave="0" documentId="13_ncr:1_{16A09A1F-C473-455D-8CF0-50C6F98A06CA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itch Checklist" sheetId="3" r:id="rId1"/>
    <sheet name="Summary and Scoring" sheetId="4" r:id="rId2"/>
  </sheets>
  <definedNames>
    <definedName name="_xlnm._FilterDatabase" localSheetId="0" hidden="1">'Pitch Checklist'!$B$1:$J$60</definedName>
    <definedName name="_xlnm.Print_Area" localSheetId="0">'Pitch Checklist'!$C$3:$J$43</definedName>
    <definedName name="_xlnm.Print_Titles" localSheetId="0">'Pitch Checklist'!$3:$3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8" i="4" l="1"/>
  <c r="D13" i="4"/>
  <c r="E13" i="4" s="1"/>
  <c r="F13" i="4" s="1"/>
  <c r="I60" i="3"/>
  <c r="I59" i="3"/>
  <c r="I58" i="3"/>
  <c r="D17" i="4" s="1"/>
  <c r="E17" i="4" s="1"/>
  <c r="F17" i="4" s="1"/>
  <c r="I57" i="3"/>
  <c r="I56" i="3"/>
  <c r="I55" i="3"/>
  <c r="D16" i="4" s="1"/>
  <c r="E16" i="4" s="1"/>
  <c r="F16" i="4" s="1"/>
  <c r="I54" i="3"/>
  <c r="I53" i="3"/>
  <c r="I52" i="3"/>
  <c r="I51" i="3"/>
  <c r="D15" i="4" s="1"/>
  <c r="E15" i="4" s="1"/>
  <c r="F15" i="4" s="1"/>
  <c r="I50" i="3"/>
  <c r="I49" i="3"/>
  <c r="I48" i="3"/>
  <c r="I47" i="3"/>
  <c r="D14" i="4" s="1"/>
  <c r="E14" i="4" s="1"/>
  <c r="F14" i="4" s="1"/>
  <c r="I46" i="3"/>
  <c r="I45" i="3"/>
  <c r="I44" i="3"/>
  <c r="I43" i="3"/>
  <c r="I42" i="3"/>
  <c r="I41" i="3"/>
  <c r="I40" i="3"/>
  <c r="I39" i="3"/>
  <c r="D12" i="4" s="1"/>
  <c r="E12" i="4" s="1"/>
  <c r="F12" i="4" s="1"/>
  <c r="I38" i="3"/>
  <c r="I37" i="3"/>
  <c r="I36" i="3"/>
  <c r="I35" i="3"/>
  <c r="D11" i="4" s="1"/>
  <c r="E11" i="4" s="1"/>
  <c r="F11" i="4" s="1"/>
  <c r="I34" i="3"/>
  <c r="I33" i="3"/>
  <c r="I32" i="3"/>
  <c r="I31" i="3"/>
  <c r="D10" i="4" s="1"/>
  <c r="E10" i="4" s="1"/>
  <c r="F10" i="4" s="1"/>
  <c r="I30" i="3"/>
  <c r="I29" i="3"/>
  <c r="I28" i="3"/>
  <c r="I27" i="3"/>
  <c r="I26" i="3"/>
  <c r="I25" i="3"/>
  <c r="I24" i="3"/>
  <c r="D9" i="4" s="1"/>
  <c r="E9" i="4" s="1"/>
  <c r="F9" i="4" s="1"/>
  <c r="I23" i="3"/>
  <c r="I22" i="3"/>
  <c r="I21" i="3"/>
  <c r="D8" i="4" s="1"/>
  <c r="E8" i="4" s="1"/>
  <c r="F8" i="4" s="1"/>
  <c r="I20" i="3"/>
  <c r="I19" i="3"/>
  <c r="I18" i="3"/>
  <c r="I17" i="3"/>
  <c r="I16" i="3"/>
  <c r="I15" i="3"/>
  <c r="D7" i="4" s="1"/>
  <c r="E7" i="4" s="1"/>
  <c r="F7" i="4" s="1"/>
  <c r="I14" i="3"/>
  <c r="I13" i="3"/>
  <c r="I12" i="3"/>
  <c r="I11" i="3"/>
  <c r="D6" i="4" s="1"/>
  <c r="E6" i="4" s="1"/>
  <c r="F6" i="4" s="1"/>
  <c r="I10" i="3"/>
  <c r="I9" i="3"/>
  <c r="I8" i="3"/>
  <c r="D5" i="4" s="1"/>
  <c r="E5" i="4" s="1"/>
  <c r="F5" i="4" s="1"/>
  <c r="I7" i="3"/>
  <c r="I6" i="3"/>
  <c r="I5" i="3"/>
  <c r="I4" i="3"/>
  <c r="D4" i="4" s="1"/>
  <c r="E4" i="4" s="1"/>
  <c r="F4" i="4" s="1"/>
  <c r="F18" i="4" s="1"/>
  <c r="B20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4" authorId="0" shapeId="0" xr:uid="{00000000-0006-0000-0200-000001000000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Should we add engagement scope, timelines as a sections in the structure?</t>
        </r>
      </text>
    </comment>
  </commentList>
</comments>
</file>

<file path=xl/sharedStrings.xml><?xml version="1.0" encoding="utf-8"?>
<sst xmlns="http://schemas.openxmlformats.org/spreadsheetml/2006/main" count="405" uniqueCount="320">
  <si>
    <t>Pitch Checklist</t>
  </si>
  <si>
    <t>Notes</t>
  </si>
  <si>
    <t>TOTAL</t>
  </si>
  <si>
    <t>Scoring: ✅ Best Practice = 2  |  ⚠️ Minimally Meets = 1  |  ❌ Does Not Meet = 0  |  Not Applicable = excluded. Set the rating on each criterion in the 'Pitch Scorecard' tab; scores roll up here automatically. Green rows = newly recommended categories.</t>
  </si>
  <si>
    <t>Category</t>
  </si>
  <si>
    <t>Checklist Description</t>
  </si>
  <si>
    <t>Criteria</t>
  </si>
  <si>
    <t>❌ Does Not Meet</t>
  </si>
  <si>
    <t>⚠️ Minimally Meets</t>
  </si>
  <si>
    <t>✅ Best Practice</t>
  </si>
  <si>
    <t>Evaluation Rating</t>
  </si>
  <si>
    <t>Score (0–2)</t>
  </si>
  <si>
    <t>Comments / Feedback</t>
  </si>
  <si>
    <t>STRUCTURE</t>
  </si>
  <si>
    <t>The deck includes all essential sections to ensure a compelling, well-structured proposal:
− Executive Summary
− Our Understanding (Client’s Challenges and Needs)
− Bristlecone’s Point of View (PoV)
− Proposed Solution (Approach, Methodology, Key Components)
− Business Case / Value Delivered (Expected Impact, ROI)
− Examples &amp; Case Studies (Relevant Success Stories)
− Accelerators &amp; Differentiators (Proprietary Tools, Frameworks)
− Value Proposition (Pricing, Investment Details)
− Why Bristlecone? (Key Reasons We’re the Best Partner)
− Additional Value-Added Services (Recommendations Beyond the Ask that may be Differentiators)</t>
  </si>
  <si>
    <t>CLIENT-SPECIFIC RELEVANCE</t>
  </si>
  <si>
    <t>Generic content that could apply to any client.</t>
  </si>
  <si>
    <t>Some customization, but still largely templated.</t>
  </si>
  <si>
    <t>Fully tailored to the client, incorporating industry, domain, and solution-specific details.</t>
  </si>
  <si>
    <t>Deeply tailored: 77 company codes, 190 plants, and named third-party systems (Salesforce, Workday, Wells Fargo, HSBC, CIBC, UBS) — not boilerplate.</t>
  </si>
  <si>
    <t>THOUGHT LEADERSHIP</t>
  </si>
  <si>
    <t>No additional recommendations beyond the RFP scope.</t>
  </si>
  <si>
    <t>Some extra insights, but not well-developed.</t>
  </si>
  <si>
    <t>Provides a strong Bristlecone PoV, proactively recommending relevant services based on expertise.</t>
  </si>
  <si>
    <t>BW-on-HANA, HANA Cloud, and Reporting 'approach options' slides (pp.99-101) show a genuine Bristlecone PoV with pros/cons and explicit recommendations, beyond bare scope.</t>
  </si>
  <si>
    <t>EXECUTIVE SUMMARY EFFECTIVENESS</t>
  </si>
  <si>
    <t>No executive summary, or it does not stand alone.</t>
  </si>
  <si>
    <t>Summary present but descriptive rather than persuasive; buries the value.</t>
  </si>
  <si>
    <t>Compelling, stand-alone exec summary leading with client value, outcomes, and why Bristlecone.</t>
  </si>
  <si>
    <t>Exec summary (slide 4) maps objectives -&gt; approach -&gt; outcomes but reads as a graphic/bullet mapping rather than a persuasive stand-alone narrative; no closing 'why Bristlecone' to anchor it.</t>
  </si>
  <si>
    <t>NARRATIVE FLOW &amp; COHERENCE</t>
  </si>
  <si>
    <t>Sections feel disconnected; no logical storyline.</t>
  </si>
  <si>
    <t>Logical order but transitions/threading of win themes are weak.</t>
  </si>
  <si>
    <t>Sections build a coherent, client-centered storyline from problem to value.</t>
  </si>
  <si>
    <t>Logical phase ordering overall, but the Organizational Change Management section (slide 66-67) is a blank stub, and the deck never resolves into a differentiation/close section.</t>
  </si>
  <si>
    <t>CUSTOMER CENTRICITY</t>
  </si>
  <si>
    <t>The proposal demonstrates a deep understanding of the client’s strategy, current situation, and specific requirements by:
− Clearly connecting the proposed solution to the client’s strategic priorities and business objectives.
− Framing the narrative from the client’s perspective, not just Bristlecone’s.
− Grounding recommendations in industry and domain-specific context to enhance credibility.</t>
  </si>
  <si>
    <t>CLIENT-SPECIFIC INSIGHTS</t>
  </si>
  <si>
    <t>Generic content with little to no client or industry specificity.</t>
  </si>
  <si>
    <t>Largely standardized deck with minimal tailoring (e.g., just rewording the client’s RFP).</t>
  </si>
  <si>
    <t>Goes beyond restating client needs – demonstrates strategic understanding of their business, industry, and challenges.</t>
  </si>
  <si>
    <t>Extensive Semtech-specific detail throughout (systems, scope counts, integrations).</t>
  </si>
  <si>
    <t>SOLUTION ALIGNMENT</t>
  </si>
  <si>
    <t>Weak or no connection between the solution and the client’s strategic priorities.</t>
  </si>
  <si>
    <t>Some linkage, but lacks depth in explaining how Bristlecone’s approach uniquely addresses the client’s needs.</t>
  </si>
  <si>
    <t>Solution is clearly mapped to the client’s goals, with strong rationale and supporting details.</t>
  </si>
  <si>
    <t>Slide 4 explicitly maps Semtech's strategic objectives to Bristlecone's approach and expected outcomes.</t>
  </si>
  <si>
    <t>COMPELLING STORYTELLING</t>
  </si>
  <si>
    <t>Proposal is written from Bristlecone’s perspective, not the client’s.</t>
  </si>
  <si>
    <t>Some elements of client perspective but not consistently applied.</t>
  </si>
  <si>
    <t>The story is structured around the client’s challenges and goals, making them the hero of the narrative.</t>
  </si>
  <si>
    <t>Large stretches (Finance/Manufacturing/Sales 'representative benefits' slides, source: SAP) are generic SAP marketing content, not written from Semtech's specific vantage point.</t>
  </si>
  <si>
    <t>THOUGHT LEADERSHIP &amp; EXPERTISE</t>
  </si>
  <si>
    <t>The proposal effectively showcases Bristlecone’s expertise and credibility across all relevant capabilities required for the scope of work, including:
Industry Knowledge: Deep understanding of sector-specific challenges and opportunities.
Technology Knowledge: Expertise in relevant package applications and partner technologies.
AI Knowledge: Demonstrated understanding of AI-driven solutions and their applications (if applicable).
Domain Knowledge: Specialization in key areas such as Planning, Procurement, Operations, and Manufacturing.
Program Management: Proven methodologies for project implementation and execution.
Change Management: Ability to drive adoption, transformation, and impact.
Additionally, the proposal should include a Bristlecone Point of View (PoV) on:
− Industry Trends and Challenges
− AI Opportunities and Innovation
− The Evolving SCM Landscape
Where applicable, thought leadership should be reinforced with data, case studies, and public citations to build credibility.</t>
  </si>
  <si>
    <t>EXPERTISE COVERAGE</t>
  </si>
  <si>
    <t>Key capabilities missing or weakly represented.</t>
  </si>
  <si>
    <t>Lists expertise areas but lacks depth or compelling examples.</t>
  </si>
  <si>
    <t>Fully covers all expertise areas with detailed supporting content.</t>
  </si>
  <si>
    <t>Comprehensive coverage across S/4HANA, BTP/BAIP, BDC, aATP, and IBP domains.</t>
  </si>
  <si>
    <t>PROOF &amp; THOUGHT LEADERSHIP</t>
  </si>
  <si>
    <t>Relies on generic statements without proof points.</t>
  </si>
  <si>
    <t>Some examples included, but lacks depth, maturity, or industry citations.</t>
  </si>
  <si>
    <t>Uses strong case studies, public citations, and thought leadership insights to reinforce credibility.</t>
  </si>
  <si>
    <t>Proof points in the benefit tables are attributed to SAP's own customer references (e.g. PASHA Holding, Lexmark), not Bristlecone-specific evidence or citations.</t>
  </si>
  <si>
    <t>POINT OF VIEW (POV)</t>
  </si>
  <si>
    <t>No Bristlecone PoV or generic industry statements.</t>
  </si>
  <si>
    <t>PoV included but lacks specificity or unique perspective.</t>
  </si>
  <si>
    <t>Strong, well-defined Bristlecone PoV with insights, recommendations, and supporting data.</t>
  </si>
  <si>
    <t>Approach-options slides (BW, HANA Cloud, Reporting) present a well-defined, specific PoV with clear recommendations and rationale.</t>
  </si>
  <si>
    <t>DEMONSTRATIONS &amp; EVIDENCE</t>
  </si>
  <si>
    <t>No demos or tangible proof where relevant.</t>
  </si>
  <si>
    <t>Some evidence included, but not fully developed.</t>
  </si>
  <si>
    <t>Where applicable, includes live demos, interactive elements, or detailed use cases.</t>
  </si>
  <si>
    <t>Tools like PO-to-SO Automation and BTP Genie are described conceptually; no demo, screenshot, or interactive proof shown.</t>
  </si>
  <si>
    <t>PARTNERSHIPS</t>
  </si>
  <si>
    <t>For deals involving technology or service partnerships, the proposal should clearly articulate:
− The breadth and depth of the partnership.
− The value of the partnership to the success of the program.
− Examples of past successful partnerships, aligned to the deal.
− If the partnership is new or early-stage, the proposal must define a clear path to successful delivery.
− Joint case studies should be included, where appropriate, to demonstrate proven collaboration and execution.
If no external partnerships are relevant to the proposal, this section is marked N/A.</t>
  </si>
  <si>
    <t>PARTNERSHIP VALUE DEFINITION</t>
  </si>
  <si>
    <t>Standard, generic content with no tie to the deal.</t>
  </si>
  <si>
    <t>Includes partnership details, but lacks strong alignment to this specific opportunity.</t>
  </si>
  <si>
    <t>Clearly defines how the partnership enhances program success with tailored insights.</t>
  </si>
  <si>
    <t>Entire program is built on SAP (S/4HANA, BTP, BDC) but there is no partnership narrative — no joint delivery role or SAP-attributed success story. Naming the platform is not a partnership story per the checklist's own guidance, so this is scored low rather than marked N/A.</t>
  </si>
  <si>
    <t>PROOF OF SUCCESS</t>
  </si>
  <si>
    <t>No examples or only vague references to past success.</t>
  </si>
  <si>
    <t>Some success stories included, but lacks depth or relevance.</t>
  </si>
  <si>
    <t>Robust, well-aligned case studies showcasing joint success with partners.</t>
  </si>
  <si>
    <t>No joint case studies or proof of success co-delivered with SAP or any other partner.</t>
  </si>
  <si>
    <t>PATH TO SUCCESS FOR NEW RELATIONSHIPS</t>
  </si>
  <si>
    <t>No roadmap for execution with an early-stage partner.</t>
  </si>
  <si>
    <t>Some consideration given, but lacks details on collaboration and risk mitigation.</t>
  </si>
  <si>
    <t>Well-defined success path, including roles, responsibilities, and joint execution strategies.</t>
  </si>
  <si>
    <t>No roadmap for how Bristlecone and SAP (or any partner) will collaborate on this specific engagement.</t>
  </si>
  <si>
    <t>COLLABORATION FACTORS</t>
  </si>
  <si>
    <t>No discussion of how Bristlecone, the partner, and the client will collaborate.</t>
  </si>
  <si>
    <t>Some reference to collaboration, but not fully developed.</t>
  </si>
  <si>
    <t>Clearly defines critical success factors for seamless partnership execution in this specific deal.</t>
  </si>
  <si>
    <t>No discussion of Bristlecone/partner/client collaboration mechanics.</t>
  </si>
  <si>
    <t>TEAM</t>
  </si>
  <si>
    <t>The proposal should clearly define the Day 1 / Delivery Team, ensuring:
− Key roles and responsibilities are identified.
− Bios are included for all key personnel, tailored to highlight their fit for the proposed role and relevance to the client’s needs.
− Client participation is well-defined, outlining expected roles and effort required at each key phase of the program.
− A RACI matrix (Responsible, Accountable, Consulted, Informed) is included for key deliverables, ensuring clarity in ownership and execution.
− FTE requirements by phase are specified at an actionable level (weekly/monthly) where applicable.</t>
  </si>
  <si>
    <t>KEY PERSONNEL &amp; ROLES</t>
  </si>
  <si>
    <t>Key roles are missing or loosely defined.</t>
  </si>
  <si>
    <t>Full list of key roles included but lacks strong contextualization.</t>
  </si>
  <si>
    <t>Key roles fully defined with clear alignment to the deal.</t>
  </si>
  <si>
    <t>Comprehensive role/track lists per workstream (slides 82-85), but no individuals are named — roles only, no contextualization to Semtech's specific challenges.</t>
  </si>
  <si>
    <t>BIOS &amp; FIT FOR ROLE</t>
  </si>
  <si>
    <t>Generic bios with no relevance to this engagement.</t>
  </si>
  <si>
    <t>Bios included but not tailored to emphasize fit.</t>
  </si>
  <si>
    <t>Bios are client-specific, highlighting direct relevance to the project.</t>
  </si>
  <si>
    <t>No bios anywhere in the deck — staffing tables show Role/Track + Geography only.</t>
  </si>
  <si>
    <t>CLIENT PARTICIPATION DEFINITION</t>
  </si>
  <si>
    <t>No mention of client engagement expectations.</t>
  </si>
  <si>
    <t>Some client requirements outlined, but not detailed.</t>
  </si>
  <si>
    <t>Client roles, responsibilities, and effort levels are well-defined across all phases.</t>
  </si>
  <si>
    <t>Semtech's responsibilities are scattered across the Key Assumptions slides (UAT scripting, data harmonization, etc.) but never consolidated into a clear client-role section.</t>
  </si>
  <si>
    <t>RACI &amp; EXECUTION READINESS</t>
  </si>
  <si>
    <t>RACI missing or incomplete. FTE commitments not defined.</t>
  </si>
  <si>
    <t>RACI included but lacks detail, and FTE estimates are not at an executable level.</t>
  </si>
  <si>
    <t>Fully developed RACI, with clear ownership and detailed FTE commitments by phase.</t>
  </si>
  <si>
    <t>No RACI matrix anywhere; staffing tables list roles per workstream with no FTE quantification by phase.</t>
  </si>
  <si>
    <t>TEAM CONTINUITY / KEY-PERSON COMMITMENT</t>
  </si>
  <si>
    <t>No assurance the named team will deliver.</t>
  </si>
  <si>
    <t>Named team shown but no commitment to continuity (bait-and-switch risk).</t>
  </si>
  <si>
    <t>Explicit commitment that the proposed A-team will deliver, with continuity safeguards.</t>
  </si>
  <si>
    <t>No language committing the proposed team to stay through delivery (bait-and-switch risk unaddressed).</t>
  </si>
  <si>
    <t>BRANDING</t>
  </si>
  <si>
    <t>The proposal maintains high professional and brand standards, ensuring:
− Proper use of Bristlecone (or client-required) templates and layouts, including accurate logos.
− Clean, visually appealing design aligned with Bristlecone’s branding guidelines.
− Effective use of slide layouts to enhance storytelling rather than just presenting information.
− High-quality, impactful visuals that support and strengthen the message.
− Storytelling reinforces Bristlecone’s position as an SCM and AI expert, with clear differentiation.
− External validation included, such as analyst reports, awards, recognitions, published thought leadership, and earned media, to reinforce Bristlecone’s credibility.
− Spelling and grammar have been reviewed, ensuring a polished and professional final product (Hint: Use ChatGPT for proofreading).
Material should also be optimized for the intended format:
− Written Submission → More detailed, text-heavy content.
− Oral Presentation → More visuals, lighter on text, engaging delivery.</t>
  </si>
  <si>
    <t>TEMPLATE &amp; BRAND COMPLIANCE</t>
  </si>
  <si>
    <t>Template is misaligned with Bristlecone or client standards.</t>
  </si>
  <si>
    <t>Template is used correctly, but branding inconsistencies exist.</t>
  </si>
  <si>
    <t>Fully compliant with Bristlecone standards, visually polished, and professional.</t>
  </si>
  <si>
    <t>Consistent, professional Bristlecone/Semtech co-branded template throughout (confirmed via rendered slides).</t>
  </si>
  <si>
    <t>STORYTELLING &amp; POSITIONING</t>
  </si>
  <si>
    <t>Bristlecone’s expertise is unclear or weakly presented.</t>
  </si>
  <si>
    <t>Expertise is communicated but relies on ‘telling’ rather than strong proof points.</t>
  </si>
  <si>
    <t>Clear, compelling storytelling that reinforces Bristlecone’s AI-first, consulting-led SCM leadership.</t>
  </si>
  <si>
    <t>Visually polished but leans on capability 'telling' (technical depth) over differentiated proof-point storytelling of Bristlecone's unique position.</t>
  </si>
  <si>
    <t>USE OF VISUALS</t>
  </si>
  <si>
    <t>Poor-quality or irrelevant images that do not enhance storytelling.</t>
  </si>
  <si>
    <t>Some visuals included but not fully optimized for impact.</t>
  </si>
  <si>
    <t>Powerful, high-quality images and visuals that enhance and support messaging.</t>
  </si>
  <si>
    <t>Clean, well-produced graphics — timelines, org charts, architecture diagrams (confirmed via rendered slides).</t>
  </si>
  <si>
    <t>EXTERNAL VALIDATION &amp; PROOF</t>
  </si>
  <si>
    <t>No citations, analyst reports, awards, or third-party credibility sources.</t>
  </si>
  <si>
    <t>Some external content included, but lacks strong validation.</t>
  </si>
  <si>
    <t>Strong supporting materials (analyst reports, awards, recognitions, thought leadership) reinforcing credibility.</t>
  </si>
  <si>
    <t>Real client logos shown (slides 91-92, incl. a directly relevant Semiconductor reference), but no analyst reports, awards, or third-party citations.</t>
  </si>
  <si>
    <t>SPELLING, GRAMMAR &amp; READABILITY</t>
  </si>
  <si>
    <t>Multiple errors in spelling, grammar, or formatting.</t>
  </si>
  <si>
    <t>Mostly clean but may have minor errors or inconsistencies.</t>
  </si>
  <si>
    <t>Fully proofed, polished, and easy to read with no distracting errors.</t>
  </si>
  <si>
    <t>Clean and professional text throughout; no material spelling/grammar errors spotted.</t>
  </si>
  <si>
    <t>FORMAT OPTIMIZATION</t>
  </si>
  <si>
    <t>Not adjusted for intended delivery format (text-heavy presentation or too visual for a written submission).</t>
  </si>
  <si>
    <t>Some consideration given, but not fully optimized for audience engagement.</t>
  </si>
  <si>
    <t>Well-structured for intended use – concise and visual for presentations, detailed for written submission.</t>
  </si>
  <si>
    <t>Several slides (21, 95-98) are extremely text/table-dense — more suited to a supporting document than a reviewable written submission or an oral walk-through.</t>
  </si>
  <si>
    <t>EXECUTIVE COMMITMENT</t>
  </si>
  <si>
    <t>The proposal effectively conveys Bristlecone’s commitment to the success of the program by:
− Clearly articulating executive sponsorship and involvement from leadership.
− Defining resource commitments in quantifiable terms (e.g., dedicated FTEs, SMEs, workshops, governance structure).
− Ensuring pricing strategy discussions have factored in executive participation, SME availability, and overall engagement level.
− Highlighting any outcome-based opportunities, including estimated impact and shared success models.
− Scaling commitment appropriately based on the deal size and strategic importance to both Bristlecone and the client.</t>
  </si>
  <si>
    <t>CLARITY OF EXECUTIVE INVOLVEMENT</t>
  </si>
  <si>
    <t>Executive commitment is missing or vaguely referenced.</t>
  </si>
  <si>
    <t>Commitment is mentioned but lacks depth or quantification.</t>
  </si>
  <si>
    <t>Clearly defined executive participation, including named sponsors and their roles with specific and measurable commitment.</t>
  </si>
  <si>
    <t>A 'Program Sponsor (BU Head)' role appears in the governance org chart (slide 63) but with no named individual or depth on their commitment.</t>
  </si>
  <si>
    <t>RESOURCE &amp; SME COMMITMENT</t>
  </si>
  <si>
    <t>No mention of resource commitments.</t>
  </si>
  <si>
    <t>Some resource commitment is included, but not quantified.</t>
  </si>
  <si>
    <t>Quantifiable commitment (e.g., specific FTEs, SMEs, workshops) with clear alignment to program success.</t>
  </si>
  <si>
    <t>Staffing is listed by role per workstream, a start, but not framed as a quantified commitment (no FTE% or hours pledged).</t>
  </si>
  <si>
    <t>PRICING &amp; STRATEGIC ALIGNMENT</t>
  </si>
  <si>
    <t>No consideration of pricing strategy in relation to commitment.</t>
  </si>
  <si>
    <t>Some consideration given to pricing strategy in relation to commitment.</t>
  </si>
  <si>
    <t>Executive and resource commitments are fully factored into pricing strategy.</t>
  </si>
  <si>
    <t>Cannot assess — the Commercials table (slide 87) is entirely placeholder text ('xxx'), so pricing strategy can't be tied to any commitment.</t>
  </si>
  <si>
    <t>OUTCOME-BASED OPPORTUNITIES</t>
  </si>
  <si>
    <t>No mention of outcome-based models or value estimation.</t>
  </si>
  <si>
    <t>Some outcome-based opportunities included, but not clearly defined.</t>
  </si>
  <si>
    <t>Estimated outcomes and shared success models are presented with supporting rationale.</t>
  </si>
  <si>
    <t>Only a straight Time &amp; Material model is mentioned; no outcome-based or shared-success option presented.</t>
  </si>
  <si>
    <t>STRATEGIC DEAL ALIGNMENT</t>
  </si>
  <si>
    <t xml:space="preserve">	Commitment feels generic and not scaled to the deal’s importance.</t>
  </si>
  <si>
    <t>Some alignment, but lacks depth in demonstrating mutual value.</t>
  </si>
  <si>
    <t>Commitment is scaled appropriately, ensuring a win-win for both Bristlecone and the client.</t>
  </si>
  <si>
    <t>No language scaling Bristlecone's commitment to the size/importance of this specific four-workstream program.</t>
  </si>
  <si>
    <t>REFERENCES &amp; TESTIMONIALS</t>
  </si>
  <si>
    <t>The proposal includes high-quality, relevant references that go beyond a basic logo slide, ensuring:
− Deeply relevant case studies showcasing similar or applicable work.
− Executive testimonials or quotes that reinforce key differentiators and value generated (not just generic praise like "worked hard" or "delivered on time and on budget").
− Clear business value articulation, with quantified benefits demonstrating impact.
− Alignment with partnerships, where applicable, to showcase successful collaboration.</t>
  </si>
  <si>
    <t>CASE STUDY DEPTH &amp; RELEVANCE</t>
  </si>
  <si>
    <t>Only includes a generic industry/technology logo slide.</t>
  </si>
  <si>
    <t>Case studies included but lack strong alignment or customization to the deal.</t>
  </si>
  <si>
    <t>Case studies are highly relevant, directly aligned with the deal scope.</t>
  </si>
  <si>
    <t>Slides 91-92 show real, named client logos across relevant industries, including a directly on-point Semiconductor reference (global template, pilot deployment, rollouts, version upgrades).</t>
  </si>
  <si>
    <t>REFERENCE VALUE PROOF</t>
  </si>
  <si>
    <t>No quantified outcome in any cited reference or case study.</t>
  </si>
  <si>
    <t>References cite business impact but without specific metrics or client attribution.</t>
  </si>
  <si>
    <t>Each cited reference includes a quantified, client-attributed business outcome (e.g., '22% reduction in inventory' at [Client]).</t>
  </si>
  <si>
    <t>Logos and process-scope tags are shown per reference, but no quantified, client-attributed outcome accompanies any specific one.</t>
  </si>
  <si>
    <t>TESTIMONIALS &amp; EXECUTIVE QUOTES</t>
  </si>
  <si>
    <t>No quotes or only generic statements that don’t reinforce differentiators.</t>
  </si>
  <si>
    <t>Quotes included but not directly tied to key differentiators.</t>
  </si>
  <si>
    <t>Strong, strategic quotes that reinforce Bristlecone’s unique value in this engagement.</t>
  </si>
  <si>
    <t>No client quotes or executive testimonials anywhere in the deck.</t>
  </si>
  <si>
    <t>PARTNERSHIP VALIDATION (IF APPLICABLE)</t>
  </si>
  <si>
    <t>No mention of joint success with a relevant partner.</t>
  </si>
  <si>
    <t>Some references to partnerships, but lacks clear proof of success.</t>
  </si>
  <si>
    <t>Demonstrates strong collaboration and partnership success where applicable.</t>
  </si>
  <si>
    <t>No partner-specific success story shown (consistent with the Partnerships category gap).</t>
  </si>
  <si>
    <t>SOLUTION</t>
  </si>
  <si>
    <t>The proposed solution is comprehensive, tailored to the client, and integrates People, Process, and Technology holistically. It clearly defines scope: geographies, organizations, functional modules, customizations, number of users, and deployment approach.
People: Organizational Change Management (OCM), governance framework, training for program team and end users.
Technology: Functional and technical scope — custom developments, integrations, testing, cutover, data migrations, and deployment strategy (Waterfall, Agile, or Global Template).
Process: Process assessments, KPIs, benchmarking, documentation, re-engineering, and operating model recommendations.
AI Differentatiors, Assets, Agents to enhance delivery, automation, insights, and decision-making
Business Value: A clear connection between how the solution is executed and the measurable outcomes it delivers.</t>
  </si>
  <si>
    <t>SOLUTION COMPLETENESS</t>
  </si>
  <si>
    <t>Major components (People, Process, or Technology) are missing or weakly defined.</t>
  </si>
  <si>
    <t>Covers all three areas but with minimal tailoring; could be reused for any client.</t>
  </si>
  <si>
    <t>Fully developed across People, Process, and Technology with clear AI integration and client-specific tailoring.</t>
  </si>
  <si>
    <t>People, Process, and Technology are all addressed in real depth and tailored to Semtech's landscape (77 company codes, 190 plants, specific modules).</t>
  </si>
  <si>
    <t>CRITICAL SUCCESS FACTORS</t>
  </si>
  <si>
    <t>No mention of key success drivers for implementation.</t>
  </si>
  <si>
    <t>Some general success factors included, but not linked to the client’s situation.</t>
  </si>
  <si>
    <t>Success factors are well-defined and contextualized to the client’s specific transformation journey.</t>
  </si>
  <si>
    <t>Downtime-reduction levers and quality gates are described, but not explicitly framed as 'critical success factors' tied to Semtech's transformation journey.</t>
  </si>
  <si>
    <t>BUSINESS VALUE DEFINITION</t>
  </si>
  <si>
    <t xml:space="preserve">	No clear connection between solution and expected outcomes.</t>
  </si>
  <si>
    <t>Some business value mentioned, but weak connection between "how" and "why."</t>
  </si>
  <si>
    <t>Business value is well-defined and directly linked to each component of the solution.</t>
  </si>
  <si>
    <t>Value is carried mostly by generic SAP-sourced benefit ranges (source: SAP), not quantified specifically for Semtech's own numbers.</t>
  </si>
  <si>
    <t>METHODOLOGY DEFINITION</t>
  </si>
  <si>
    <t>Methodology is missing or vaguely described.</t>
  </si>
  <si>
    <t>Methodology is included but lacks differentiation or rationale.</t>
  </si>
  <si>
    <t>Clear, well-defined methodology with a Bristlecone PoV on why it’s the best fit.</t>
  </si>
  <si>
    <t>Clear, detailed migration methodology with strong Bristlecone rationale (N+1 landscape strategy, Q-Gates, SUM-based conversion).</t>
  </si>
  <si>
    <t>METHODOLOGY, TOOLS &amp; ACCELERATORS</t>
  </si>
  <si>
    <t>The proposal clearly defines Bristlecone's recommended methodology along with relevant tools and accelerators, ensuring a comprehensive approach across People, Process, and Technology at every phase of the program.
Methodology: The recommended approach is well-documented and, where applicable, serves as a differentiator (e.g., Global Template vs. Localized Deployments). A Bristlecone Point of View (PoV) is included to justify the methodology choice.
Tools &amp; Accelerators: The proposal identifies all relevant tools across the entire program lifecycle. These may be partner-provided, but the proposal should clarify Bristlecone’s experience with these tools and any enhancements or customizations we have developed.
Proof &amp; Value Quantification: Specific Bristlecone accelerators should be backed by quantified benefits, such as time savings, KPI improvements, or efficiency gains. For high-impact accelerators, case studies or example clients should be referenced to demonstrate real-world value.
Comprehensive Coverage: The proposal ensures that no major methodology, tool, or accelerator is missing from the defined scope. If partner-specific tools are critical to program success, they should be explicitly included.</t>
  </si>
  <si>
    <t>Same methodology content as Solution category — meets best practice, scored identically here per the checklist's intentional duplication.</t>
  </si>
  <si>
    <t>TOOLS &amp; ACCELERATORS COVERAGE</t>
  </si>
  <si>
    <t>Tools and accelerators are missing or incomplete.</t>
  </si>
  <si>
    <t>Tools and accelerators are listed but lack examples or differentiation.</t>
  </si>
  <si>
    <t>Comprehensive list covering all phases of the program, including relevant partner tools.</t>
  </si>
  <si>
    <t>Comprehensive lifecycle coverage: S/4Now CCR, Change Navigator, Cleansify AI, ABAP SpecGen, and more, mapped across Prepare-Explore-Realize-Deploy-Run.</t>
  </si>
  <si>
    <t>BRISTLECONE DEFINITION</t>
  </si>
  <si>
    <t>No mention of Bristlecone’s unique enhancements or experience.</t>
  </si>
  <si>
    <t>Some differentiation included but lacks clarity on investments or enhancements.</t>
  </si>
  <si>
    <t>Strong positioning of Bristlecone’s differentiators, including proprietary enhancements.</t>
  </si>
  <si>
    <t>Proprietary tools and the AI4S4 framework are clearly named and positioned as Bristlecone's own differentiators.</t>
  </si>
  <si>
    <t>PROOF &amp; QUANTIFICATION</t>
  </si>
  <si>
    <t>No supporting evidence or quantified benefits.</t>
  </si>
  <si>
    <t>Some case studies or proof points, but lacks quantified value.</t>
  </si>
  <si>
    <t>Case studies, sample outputs, or KPI impact estimates demonstrating measurable value.</t>
  </si>
  <si>
    <t>Concrete metrics throughout (98% remediation accuracy, 70-80% manual-effort reduction, 15-20% time-to-value improvement).</t>
  </si>
  <si>
    <t>AI &amp; INNOVATION</t>
  </si>
  <si>
    <t>AI positioned as a core, embedded differentiator — not a buzzword. Articulates an AI strategy mapped to client outcomes, names specific AI accelerators/tools (and Bristlecone enhancements), quantifies AI-driven value, and offers a forward innovation roadmap reflecting Bristlecone's AI-first, consulting-led SCM positioning.</t>
  </si>
  <si>
    <t>AI STRATEGY &amp; EMBEDDING</t>
  </si>
  <si>
    <t>AI absent or superficial.</t>
  </si>
  <si>
    <t>AI referenced but not integrated into the solution.</t>
  </si>
  <si>
    <t>AI seamlessly embedded across the solution, mapped to specific client outcomes.</t>
  </si>
  <si>
    <t>AI4S4 roadmap is embedded across every program phase (Discover through Run), not bolted on as an afterthought.</t>
  </si>
  <si>
    <t>AI ACCELERATORS &amp; TOOLS</t>
  </si>
  <si>
    <t>No AI tools named.</t>
  </si>
  <si>
    <t>Tools named but no Bristlecone differentiation.</t>
  </si>
  <si>
    <t>Specific AI accelerators/tools detailed, including Bristlecone's proprietary enhancements.</t>
  </si>
  <si>
    <t>Specific, named tools with clear Bristlecone enhancements (S/4Now CCR, Cleansify AI, BTP Genie, PO-to-SO Automation).</t>
  </si>
  <si>
    <t>AI PROOF &amp; OUTCOMES</t>
  </si>
  <si>
    <t>No evidence of AI value.</t>
  </si>
  <si>
    <t>Claims made without quantification.</t>
  </si>
  <si>
    <t>Quantified AI outcomes (efficiency, accuracy, speed) backed by examples/case studies.</t>
  </si>
  <si>
    <t>Quantified throughout (98% accuracy, 25-35% productivity gains in the Run phase).</t>
  </si>
  <si>
    <t>INNOVATION &amp; FUTURE ROADMAP</t>
  </si>
  <si>
    <t>No forward view.</t>
  </si>
  <si>
    <t>Generic innovation statements.</t>
  </si>
  <si>
    <t>Clear innovation roadmap showing evolving value beyond the initial scope.</t>
  </si>
  <si>
    <t>Explicit Discover -&gt; Run roadmap showing evolving AI value across the program lifecycle.</t>
  </si>
  <si>
    <t>COMMERCIALS, PRICING &amp; INVESTMENT</t>
  </si>
  <si>
    <t>Presents a transparent, well-structured commercial model: clear pricing and cost breakdown, assumptions/exclusions, payment milestones, pricing options where relevant (T&amp;M / fixed / outcome-based), connected to the value delivered.</t>
  </si>
  <si>
    <t>PRICING TRANSPARENCY</t>
  </si>
  <si>
    <t>Pricing missing or opaque (lump sum, no breakdown).</t>
  </si>
  <si>
    <t>Price given but limited breakdown or unclear basis of estimate.</t>
  </si>
  <si>
    <t>Transparent cost breakdown by phase/workstream/role with clear basis of estimate.</t>
  </si>
  <si>
    <t>Every cost line in the Commercials table (slide 87) is a literal 'xxx'/'Xxx'/'XX' placeholder — confirmed visually. No price is actually presented.</t>
  </si>
  <si>
    <t>COMMERCIAL MODEL &amp; OPTIONS</t>
  </si>
  <si>
    <t>Single rigid price, no options.</t>
  </si>
  <si>
    <t>One model; limited flexibility.</t>
  </si>
  <si>
    <t>Clear model with options/tiers (T&amp;M, fixed, outcome-based) suited to client risk appetite.</t>
  </si>
  <si>
    <t>A single Time &amp; Material model is described; no fixed-price or outcome-based alternative offered for Semtech to weigh.</t>
  </si>
  <si>
    <t>ASSUMPTIONS &amp; EXCLUSIONS</t>
  </si>
  <si>
    <t>None stated; scope-for-price unclear.</t>
  </si>
  <si>
    <t>Some assumptions noted but incomplete.</t>
  </si>
  <si>
    <t>Assumptions, exclusions, and change mechanism clearly defined to protect both parties.</t>
  </si>
  <si>
    <t>Genuinely thorough: dedicated Key Assumptions slides per workstream (ABAP/BASIS/Security, BDC, BAIP/BTP, IBP) plus a Scope Exclusion slide.</t>
  </si>
  <si>
    <t>VALUE-FOR-MONEY / ROI LINKAGE</t>
  </si>
  <si>
    <t>Price not linked to value.</t>
  </si>
  <si>
    <t>Loose linkage between cost and benefit.</t>
  </si>
  <si>
    <t>Investment clearly justified against quantified business value / ROI.</t>
  </si>
  <si>
    <t>General cost-benefit narrative exists via the SAP benefit tables, but nothing ties it to this program's actual (currently blank) price.</t>
  </si>
  <si>
    <t>COMPETITIVE DIFFERENTIATION / WIN THEMES</t>
  </si>
  <si>
    <t>Establishes clear win themes and differentiators, positioning Bristlecone advantageously against likely alternatives and reinforcing why Bristlecone is uniquely the right partner for this specific client and deal.</t>
  </si>
  <si>
    <t>WIN THEMES</t>
  </si>
  <si>
    <t>No discernible win themes.</t>
  </si>
  <si>
    <t>Themes implied but not explicit or consistent.</t>
  </si>
  <si>
    <t>3–4 explicit, client-resonant win themes threaded through the proposal.</t>
  </si>
  <si>
    <t>Differentiators (AI accelerators, proprietary tools, methodology strength) are implied throughout but never packaged as explicit, named win themes.</t>
  </si>
  <si>
    <t>COMPETITIVE POSITIONING</t>
  </si>
  <si>
    <t>No differentiation vs. alternatives.</t>
  </si>
  <si>
    <t>Generic strengths, not comparative.</t>
  </si>
  <si>
    <t>Clear, evidence-backed differentiation against likely competitors/alternatives.</t>
  </si>
  <si>
    <t>No comparison against likely alternative SIs anywhere in the deck.</t>
  </si>
  <si>
    <t>WHY BRISTLECONE</t>
  </si>
  <si>
    <t>Generic or missing.</t>
  </si>
  <si>
    <t>Stated but not compelling or specific.</t>
  </si>
  <si>
    <t>Compelling, client-specific case for Bristlecone tied to proven outcomes.</t>
  </si>
  <si>
    <t>No dedicated 'Why Bristlecone' section exists, despite being one of the checklist's core structural expectations.</t>
  </si>
  <si>
    <t>RISKS, ASSUMPTIONS &amp; MITIGATION</t>
  </si>
  <si>
    <t>Proactively surfaces key delivery, technical, organizational and commercial risks, with mitigation strategies, dependencies and assumptions — demonstrating delivery maturity and credibility.</t>
  </si>
  <si>
    <t>RISK IDENTIFICATION</t>
  </si>
  <si>
    <t>Slide 64 shows a generic 5-step risk-management process (Identification -&gt; Assessment -&gt; Scoring -&gt; Response -&gt; Monitoring) but names zero actual risks specific to this engagement (e.g., concurrent 4-workstream execution, 8,628 custom objects, 250 interfaces).</t>
  </si>
  <si>
    <t>MITIGATION PLANNING</t>
  </si>
  <si>
    <t>No specific mitigation strategies are shown, since no specific risks were named.</t>
  </si>
  <si>
    <t>DEPENDENCIES &amp; ASSUMPTIONS</t>
  </si>
  <si>
    <t>Extensively documented per workstream (ABAP/BASIS/Security, BDC, BAIP/BTP, IBP) plus a dedicated Scope Exclusion slide.</t>
  </si>
  <si>
    <t>PROPOSAL REVIEW — SCORECARD SUMMARY</t>
  </si>
  <si>
    <t>Weight %</t>
  </si>
  <si>
    <t>Avg Score (0-2)</t>
  </si>
  <si>
    <t>Score %</t>
  </si>
  <si>
    <t>Weighted Score %</t>
  </si>
  <si>
    <t>Overall weighted readiness score</t>
  </si>
  <si>
    <t>Notes: (1) If a whole category is Not Applicable for a deal (e.g., PARTNERSHIPS or REFERENCE on an informal pitch), set its Weight % to 0 and redistribute across the others so weights still total 100%. (2) Reviewed proposal: Technical Proposal for Semtech Migration - July 2026 (102 slides). No RFP/requirements doc was supplied, so this is rubric scoring only, no requirements-coverage cross-check. Reviewed by Claude at Priya's request, 2026-09-09.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</si>
</sst>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Aptos Narrow"/>
      <family val="2"/>
      <charset val="1"/>
    </font>
    <font>
      <b/>
      <sz val="18"/>
      <color rgb="FFFFFFFF"/>
      <name val="Aptos Narrow"/>
      <family val="2"/>
      <charset val="1"/>
    </font>
    <font>
      <sz val="11"/>
      <color rgb="FF006100"/>
      <name val="Aptos Narrow"/>
      <family val="2"/>
      <charset val="1"/>
    </font>
    <font>
      <sz val="11"/>
      <color rgb="FF9C5700"/>
      <name val="Aptos Narrow"/>
      <family val="2"/>
      <charset val="1"/>
    </font>
    <font>
      <sz val="11"/>
      <color rgb="FF9C0006"/>
      <name val="Aptos Narrow"/>
      <family val="2"/>
      <charset val="1"/>
    </font>
    <font>
      <b/>
      <sz val="11"/>
      <color theme="1"/>
      <name val="Aptos Narrow"/>
      <family val="2"/>
      <charset val="1"/>
    </font>
    <font>
      <i/>
      <sz val="10"/>
      <color rgb="FF1A1A1A"/>
      <name val="Arial"/>
      <family val="2"/>
      <charset val="1"/>
    </font>
    <font>
      <b/>
      <sz val="11"/>
      <color theme="0"/>
      <name val="Aptos Narrow"/>
      <family val="2"/>
      <charset val="1"/>
    </font>
    <font>
      <sz val="9"/>
      <color rgb="FF1A1A1A"/>
      <name val="Arial"/>
      <family val="2"/>
      <charset val="1"/>
    </font>
    <font>
      <sz val="10"/>
      <name val="Arial"/>
      <family val="2"/>
    </font>
    <font>
      <b/>
      <sz val="14"/>
      <color rgb="FFFFFFFF"/>
      <name val="Aptos Narrow"/>
      <family val="2"/>
      <charset val="1"/>
    </font>
    <font>
      <b/>
      <sz val="10"/>
      <color rgb="FFFFFFFF"/>
      <name val="Arial"/>
      <family val="2"/>
      <charset val="1"/>
    </font>
    <font>
      <sz val="10"/>
      <color rgb="FF1A1A1A"/>
      <name val="Arial"/>
      <family val="2"/>
      <charset val="1"/>
    </font>
    <font>
      <b/>
      <sz val="9"/>
      <color rgb="FF538135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2"/>
      <color rgb="FF1F3864"/>
      <name val="Arial"/>
      <family val="2"/>
      <charset val="1"/>
    </font>
    <font>
      <i/>
      <sz val="9"/>
      <color rgb="FF1A1A1A"/>
      <name val="Arial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0E2841"/>
        <bgColor rgb="FF1F2D4E"/>
      </patternFill>
    </fill>
    <fill>
      <patternFill patternType="solid">
        <fgColor rgb="FFFFFFFF"/>
        <bgColor rgb="FFF4F4F4"/>
      </patternFill>
    </fill>
    <fill>
      <patternFill patternType="solid">
        <fgColor rgb="FFFFC7CE"/>
        <bgColor rgb="FFE8E8E8"/>
      </patternFill>
    </fill>
    <fill>
      <patternFill patternType="solid">
        <fgColor rgb="FFFFEB9C"/>
        <bgColor rgb="FFFFF2CC"/>
      </patternFill>
    </fill>
    <fill>
      <patternFill patternType="solid">
        <fgColor rgb="FFC6EFCE"/>
        <bgColor rgb="FFE0F2F1"/>
      </patternFill>
    </fill>
    <fill>
      <patternFill patternType="solid">
        <fgColor rgb="FFE8E8E8"/>
        <bgColor rgb="FFE0F2F1"/>
      </patternFill>
    </fill>
    <fill>
      <patternFill patternType="solid">
        <fgColor rgb="FFF2F2F2"/>
        <bgColor rgb="FFF4F4F4"/>
      </patternFill>
    </fill>
    <fill>
      <patternFill patternType="solid">
        <fgColor theme="1"/>
        <bgColor rgb="FF1A1A1A"/>
      </patternFill>
    </fill>
    <fill>
      <patternFill patternType="solid">
        <fgColor rgb="FF1F3864"/>
        <bgColor rgb="FF1F2D4E"/>
      </patternFill>
    </fill>
    <fill>
      <patternFill patternType="solid">
        <fgColor rgb="FF2E5496"/>
        <bgColor rgb="FF2E4DA1"/>
      </patternFill>
    </fill>
    <fill>
      <patternFill patternType="solid">
        <fgColor rgb="FFD9E1F2"/>
        <bgColor rgb="FFE8E8E8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3" xfId="0" applyBorder="1" applyAlignment="1">
      <alignment vertical="center"/>
    </xf>
    <xf numFmtId="0" fontId="5" fillId="0" borderId="3" xfId="0" applyFont="1" applyBorder="1" applyAlignment="1">
      <alignment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left" vertical="center"/>
    </xf>
    <xf numFmtId="0" fontId="7" fillId="9" borderId="3" xfId="0" applyFont="1" applyFill="1" applyBorder="1" applyAlignment="1">
      <alignment vertical="center" wrapText="1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left" vertical="center" wrapText="1"/>
    </xf>
    <xf numFmtId="0" fontId="5" fillId="7" borderId="3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left" vertical="center" wrapText="1"/>
    </xf>
    <xf numFmtId="0" fontId="2" fillId="6" borderId="3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 vertical="top" wrapText="1"/>
    </xf>
    <xf numFmtId="0" fontId="5" fillId="0" borderId="4" xfId="0" applyFont="1" applyBorder="1" applyAlignment="1">
      <alignment vertical="center" wrapText="1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left" vertical="center" wrapText="1"/>
    </xf>
    <xf numFmtId="9" fontId="12" fillId="8" borderId="1" xfId="0" applyNumberFormat="1" applyFont="1" applyFill="1" applyBorder="1" applyAlignment="1">
      <alignment horizontal="center" vertical="center" wrapText="1"/>
    </xf>
    <xf numFmtId="2" fontId="12" fillId="8" borderId="1" xfId="0" applyNumberFormat="1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9" fontId="12" fillId="3" borderId="1" xfId="0" applyNumberFormat="1" applyFont="1" applyFill="1" applyBorder="1" applyAlignment="1">
      <alignment horizontal="center" vertical="center" wrapText="1"/>
    </xf>
    <xf numFmtId="2" fontId="12" fillId="3" borderId="1" xfId="0" applyNumberFormat="1" applyFont="1" applyFill="1" applyBorder="1" applyAlignment="1">
      <alignment horizontal="center" vertical="center" wrapText="1"/>
    </xf>
    <xf numFmtId="9" fontId="12" fillId="0" borderId="1" xfId="0" applyNumberFormat="1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10" borderId="1" xfId="0" applyFont="1" applyFill="1" applyBorder="1" applyAlignment="1">
      <alignment horizontal="left" vertical="center" wrapText="1"/>
    </xf>
    <xf numFmtId="9" fontId="14" fillId="10" borderId="1" xfId="0" applyNumberFormat="1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164" fontId="14" fillId="10" borderId="1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left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left" vertical="center" wrapText="1"/>
    </xf>
    <xf numFmtId="0" fontId="5" fillId="0" borderId="3" xfId="0" applyFont="1" applyBorder="1" applyAlignment="1">
      <alignment vertical="center" wrapText="1"/>
    </xf>
    <xf numFmtId="0" fontId="0" fillId="0" borderId="3" xfId="0" applyBorder="1" applyAlignment="1">
      <alignment horizontal="left" vertical="center" wrapText="1"/>
    </xf>
    <xf numFmtId="0" fontId="5" fillId="7" borderId="3" xfId="0" applyFont="1" applyFill="1" applyBorder="1" applyAlignment="1">
      <alignment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15" fillId="12" borderId="2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left" vertical="top" wrapTex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1A237E"/>
      <rgbColor rgb="FF808000"/>
      <rgbColor rgb="FF880E4F"/>
      <rgbColor rgb="FF156082"/>
      <rgbColor rgb="FFBFBFBF"/>
      <rgbColor rgb="FF808080"/>
      <rgbColor rgb="FF9999FF"/>
      <rgbColor rgb="FFA02B93"/>
      <rgbColor rgb="FFFFF2CC"/>
      <rgbColor rgb="FFE0F2F1"/>
      <rgbColor rgb="FF660066"/>
      <rgbColor rgb="FFFF8080"/>
      <rgbColor rgb="FF2E5496"/>
      <rgbColor rgb="FFD9E1F2"/>
      <rgbColor rgb="FF1F3864"/>
      <rgbColor rgb="FFFF00FF"/>
      <rgbColor rgb="FFFFFF00"/>
      <rgbColor rgb="FF00FFFF"/>
      <rgbColor rgb="FF800080"/>
      <rgbColor rgb="FF800000"/>
      <rgbColor rgb="FF196B24"/>
      <rgbColor rgb="FF0000FF"/>
      <rgbColor rgb="FF0F9ED5"/>
      <rgbColor rgb="FFF2F2F2"/>
      <rgbColor rgb="FFC6EFCE"/>
      <rgbColor rgb="FFFFEB9C"/>
      <rgbColor rgb="FFE8E8E8"/>
      <rgbColor rgb="FFF4F4F4"/>
      <rgbColor rgb="FFCC99FF"/>
      <rgbColor rgb="FFFFC7CE"/>
      <rgbColor rgb="FF3366FF"/>
      <rgbColor rgb="FF33CCCC"/>
      <rgbColor rgb="FF99CC00"/>
      <rgbColor rgb="FFFFC000"/>
      <rgbColor rgb="FFFF9900"/>
      <rgbColor rgb="FFE97132"/>
      <rgbColor rgb="FF595959"/>
      <rgbColor rgb="FF969696"/>
      <rgbColor rgb="FF0E2841"/>
      <rgbColor rgb="FF538135"/>
      <rgbColor rgb="FF004D40"/>
      <rgbColor rgb="FF1A1A1A"/>
      <rgbColor rgb="FF9C5700"/>
      <rgbColor rgb="FF37474F"/>
      <rgbColor rgb="FF2E4DA1"/>
      <rgbColor rgb="FF1F2D4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E2841"/>
    <pageSetUpPr fitToPage="1"/>
  </sheetPr>
  <dimension ref="B1:L61"/>
  <sheetViews>
    <sheetView tabSelected="1" zoomScale="70" zoomScaleNormal="70" workbookViewId="0">
      <selection activeCell="E7" sqref="E7"/>
    </sheetView>
  </sheetViews>
  <sheetFormatPr defaultColWidth="8.7109375" defaultRowHeight="15" x14ac:dyDescent="0.25"/>
  <cols>
    <col min="1" max="1" width="3.140625" style="1" customWidth="1"/>
    <col min="2" max="2" width="21.85546875" style="2" customWidth="1"/>
    <col min="3" max="3" width="40" style="3" customWidth="1"/>
    <col min="4" max="4" width="22" style="3" customWidth="1"/>
    <col min="5" max="7" width="30" style="3" customWidth="1"/>
    <col min="8" max="9" width="16" style="4" customWidth="1"/>
    <col min="10" max="10" width="29.7109375" style="3" customWidth="1"/>
    <col min="11" max="11" width="40.85546875" style="5" customWidth="1"/>
    <col min="12" max="12" width="44.42578125" style="5" customWidth="1"/>
    <col min="13" max="13" width="16" style="1" customWidth="1"/>
    <col min="14" max="14" width="14" style="1" customWidth="1"/>
    <col min="15" max="15" width="12" style="1" customWidth="1"/>
    <col min="16" max="16" width="30" style="1" customWidth="1"/>
    <col min="17" max="17" width="32" style="1" customWidth="1"/>
    <col min="18" max="16384" width="8.7109375" style="1"/>
  </cols>
  <sheetData>
    <row r="1" spans="2:10" ht="21" customHeight="1" x14ac:dyDescent="0.25">
      <c r="B1" s="34" t="s">
        <v>0</v>
      </c>
      <c r="C1" s="34"/>
      <c r="D1" s="34"/>
      <c r="E1" s="34"/>
      <c r="F1" s="34"/>
      <c r="G1" s="34"/>
      <c r="H1" s="34"/>
      <c r="I1" s="34"/>
      <c r="J1" s="34"/>
    </row>
    <row r="2" spans="2:10" ht="21" customHeight="1" x14ac:dyDescent="0.25">
      <c r="B2" s="35" t="s">
        <v>3</v>
      </c>
      <c r="C2" s="35"/>
      <c r="D2" s="35"/>
      <c r="E2" s="35"/>
      <c r="F2" s="35"/>
      <c r="G2" s="35"/>
      <c r="H2" s="35"/>
      <c r="I2" s="35"/>
      <c r="J2" s="35"/>
    </row>
    <row r="3" spans="2:10" s="6" customFormat="1" ht="15" customHeight="1" x14ac:dyDescent="0.25">
      <c r="B3" s="7" t="s">
        <v>4</v>
      </c>
      <c r="C3" s="8" t="s">
        <v>5</v>
      </c>
      <c r="D3" s="8" t="s">
        <v>6</v>
      </c>
      <c r="E3" s="8" t="s">
        <v>7</v>
      </c>
      <c r="F3" s="8" t="s">
        <v>8</v>
      </c>
      <c r="G3" s="8" t="s">
        <v>9</v>
      </c>
      <c r="H3" s="9" t="s">
        <v>10</v>
      </c>
      <c r="I3" s="9" t="s">
        <v>11</v>
      </c>
      <c r="J3" s="8" t="s">
        <v>12</v>
      </c>
    </row>
    <row r="4" spans="2:10" ht="72" customHeight="1" x14ac:dyDescent="0.25">
      <c r="B4" s="36" t="s">
        <v>13</v>
      </c>
      <c r="C4" s="37" t="s">
        <v>14</v>
      </c>
      <c r="D4" s="11" t="s">
        <v>15</v>
      </c>
      <c r="E4" s="12" t="s">
        <v>16</v>
      </c>
      <c r="F4" s="13" t="s">
        <v>17</v>
      </c>
      <c r="G4" s="14" t="s">
        <v>18</v>
      </c>
      <c r="H4" s="4" t="s">
        <v>9</v>
      </c>
      <c r="I4" s="4">
        <f t="shared" ref="I4:I35" si="0">IF(H4="✅ Best Practice",2,IF(H4="⚠️ Minimally Meets",1,IF(H4="❌ Does Not Meet",0,"—")))</f>
        <v>2</v>
      </c>
      <c r="J4" s="10" t="s">
        <v>19</v>
      </c>
    </row>
    <row r="5" spans="2:10" ht="87" customHeight="1" x14ac:dyDescent="0.25">
      <c r="B5" s="36"/>
      <c r="C5" s="36"/>
      <c r="D5" s="11" t="s">
        <v>20</v>
      </c>
      <c r="E5" s="12" t="s">
        <v>21</v>
      </c>
      <c r="F5" s="13" t="s">
        <v>22</v>
      </c>
      <c r="G5" s="14" t="s">
        <v>23</v>
      </c>
      <c r="H5" s="4" t="s">
        <v>9</v>
      </c>
      <c r="I5" s="4">
        <f t="shared" si="0"/>
        <v>2</v>
      </c>
      <c r="J5" s="10" t="s">
        <v>24</v>
      </c>
    </row>
    <row r="6" spans="2:10" ht="87" customHeight="1" x14ac:dyDescent="0.25">
      <c r="B6" s="36"/>
      <c r="C6" s="36"/>
      <c r="D6" s="11" t="s">
        <v>25</v>
      </c>
      <c r="E6" s="12" t="s">
        <v>26</v>
      </c>
      <c r="F6" s="13" t="s">
        <v>27</v>
      </c>
      <c r="G6" s="14" t="s">
        <v>28</v>
      </c>
      <c r="H6" s="4" t="s">
        <v>8</v>
      </c>
      <c r="I6" s="4">
        <f t="shared" si="0"/>
        <v>1</v>
      </c>
      <c r="J6" s="10" t="s">
        <v>29</v>
      </c>
    </row>
    <row r="7" spans="2:10" ht="87" customHeight="1" x14ac:dyDescent="0.25">
      <c r="B7" s="36"/>
      <c r="C7" s="36"/>
      <c r="D7" s="11" t="s">
        <v>30</v>
      </c>
      <c r="E7" s="12" t="s">
        <v>31</v>
      </c>
      <c r="F7" s="13" t="s">
        <v>32</v>
      </c>
      <c r="G7" s="14" t="s">
        <v>33</v>
      </c>
      <c r="H7" s="4" t="s">
        <v>8</v>
      </c>
      <c r="I7" s="4">
        <f t="shared" si="0"/>
        <v>1</v>
      </c>
      <c r="J7" s="10" t="s">
        <v>34</v>
      </c>
    </row>
    <row r="8" spans="2:10" ht="101.25" customHeight="1" x14ac:dyDescent="0.25">
      <c r="B8" s="38" t="s">
        <v>35</v>
      </c>
      <c r="C8" s="39" t="s">
        <v>36</v>
      </c>
      <c r="D8" s="15" t="s">
        <v>37</v>
      </c>
      <c r="E8" s="12" t="s">
        <v>38</v>
      </c>
      <c r="F8" s="13" t="s">
        <v>39</v>
      </c>
      <c r="G8" s="14" t="s">
        <v>40</v>
      </c>
      <c r="H8" s="4" t="s">
        <v>9</v>
      </c>
      <c r="I8" s="4">
        <f t="shared" si="0"/>
        <v>2</v>
      </c>
      <c r="J8" s="3" t="s">
        <v>41</v>
      </c>
    </row>
    <row r="9" spans="2:10" ht="101.25" customHeight="1" x14ac:dyDescent="0.25">
      <c r="B9" s="38"/>
      <c r="C9" s="38"/>
      <c r="D9" s="15" t="s">
        <v>42</v>
      </c>
      <c r="E9" s="12" t="s">
        <v>43</v>
      </c>
      <c r="F9" s="13" t="s">
        <v>44</v>
      </c>
      <c r="G9" s="14" t="s">
        <v>45</v>
      </c>
      <c r="H9" s="4" t="s">
        <v>9</v>
      </c>
      <c r="I9" s="4">
        <f t="shared" si="0"/>
        <v>2</v>
      </c>
      <c r="J9" s="3" t="s">
        <v>46</v>
      </c>
    </row>
    <row r="10" spans="2:10" ht="87" customHeight="1" x14ac:dyDescent="0.25">
      <c r="B10" s="38"/>
      <c r="C10" s="38"/>
      <c r="D10" s="15" t="s">
        <v>47</v>
      </c>
      <c r="E10" s="12" t="s">
        <v>48</v>
      </c>
      <c r="F10" s="13" t="s">
        <v>49</v>
      </c>
      <c r="G10" s="14" t="s">
        <v>50</v>
      </c>
      <c r="H10" s="4" t="s">
        <v>8</v>
      </c>
      <c r="I10" s="4">
        <f t="shared" si="0"/>
        <v>1</v>
      </c>
      <c r="J10" s="3" t="s">
        <v>51</v>
      </c>
    </row>
    <row r="11" spans="2:10" ht="84.75" customHeight="1" x14ac:dyDescent="0.25">
      <c r="B11" s="40" t="s">
        <v>52</v>
      </c>
      <c r="C11" s="37" t="s">
        <v>53</v>
      </c>
      <c r="D11" s="11" t="s">
        <v>54</v>
      </c>
      <c r="E11" s="12" t="s">
        <v>55</v>
      </c>
      <c r="F11" s="13" t="s">
        <v>56</v>
      </c>
      <c r="G11" s="14" t="s">
        <v>57</v>
      </c>
      <c r="H11" s="4" t="s">
        <v>9</v>
      </c>
      <c r="I11" s="4">
        <f t="shared" si="0"/>
        <v>2</v>
      </c>
      <c r="J11" s="10" t="s">
        <v>58</v>
      </c>
    </row>
    <row r="12" spans="2:10" ht="90" customHeight="1" x14ac:dyDescent="0.25">
      <c r="B12" s="40"/>
      <c r="C12" s="40"/>
      <c r="D12" s="11" t="s">
        <v>59</v>
      </c>
      <c r="E12" s="12" t="s">
        <v>60</v>
      </c>
      <c r="F12" s="13" t="s">
        <v>61</v>
      </c>
      <c r="G12" s="14" t="s">
        <v>62</v>
      </c>
      <c r="H12" s="4" t="s">
        <v>8</v>
      </c>
      <c r="I12" s="4">
        <f t="shared" si="0"/>
        <v>1</v>
      </c>
      <c r="J12" s="10" t="s">
        <v>63</v>
      </c>
    </row>
    <row r="13" spans="2:10" ht="129" customHeight="1" x14ac:dyDescent="0.25">
      <c r="B13" s="40"/>
      <c r="C13" s="40"/>
      <c r="D13" s="11" t="s">
        <v>64</v>
      </c>
      <c r="E13" s="12" t="s">
        <v>65</v>
      </c>
      <c r="F13" s="13" t="s">
        <v>66</v>
      </c>
      <c r="G13" s="14" t="s">
        <v>67</v>
      </c>
      <c r="H13" s="4" t="s">
        <v>9</v>
      </c>
      <c r="I13" s="4">
        <f t="shared" si="0"/>
        <v>2</v>
      </c>
      <c r="J13" s="10" t="s">
        <v>68</v>
      </c>
    </row>
    <row r="14" spans="2:10" ht="153" customHeight="1" x14ac:dyDescent="0.25">
      <c r="B14" s="40"/>
      <c r="C14" s="40"/>
      <c r="D14" s="11" t="s">
        <v>69</v>
      </c>
      <c r="E14" s="12" t="s">
        <v>70</v>
      </c>
      <c r="F14" s="13" t="s">
        <v>71</v>
      </c>
      <c r="G14" s="14" t="s">
        <v>72</v>
      </c>
      <c r="H14" s="4" t="s">
        <v>8</v>
      </c>
      <c r="I14" s="4">
        <f t="shared" si="0"/>
        <v>1</v>
      </c>
      <c r="J14" s="10" t="s">
        <v>73</v>
      </c>
    </row>
    <row r="15" spans="2:10" ht="72" customHeight="1" x14ac:dyDescent="0.25">
      <c r="B15" s="38" t="s">
        <v>74</v>
      </c>
      <c r="C15" s="39" t="s">
        <v>75</v>
      </c>
      <c r="D15" s="15" t="s">
        <v>76</v>
      </c>
      <c r="E15" s="12" t="s">
        <v>77</v>
      </c>
      <c r="F15" s="13" t="s">
        <v>78</v>
      </c>
      <c r="G15" s="14" t="s">
        <v>79</v>
      </c>
      <c r="H15" s="4" t="s">
        <v>7</v>
      </c>
      <c r="I15" s="4">
        <f t="shared" si="0"/>
        <v>0</v>
      </c>
      <c r="J15" s="3" t="s">
        <v>80</v>
      </c>
    </row>
    <row r="16" spans="2:10" ht="72" customHeight="1" x14ac:dyDescent="0.25">
      <c r="B16" s="38"/>
      <c r="C16" s="38"/>
      <c r="D16" s="15" t="s">
        <v>81</v>
      </c>
      <c r="E16" s="12" t="s">
        <v>82</v>
      </c>
      <c r="F16" s="13" t="s">
        <v>83</v>
      </c>
      <c r="G16" s="14" t="s">
        <v>84</v>
      </c>
      <c r="H16" s="4" t="s">
        <v>7</v>
      </c>
      <c r="I16" s="4">
        <f t="shared" si="0"/>
        <v>0</v>
      </c>
      <c r="J16" s="3" t="s">
        <v>85</v>
      </c>
    </row>
    <row r="17" spans="2:10" ht="72" customHeight="1" x14ac:dyDescent="0.25">
      <c r="B17" s="38"/>
      <c r="C17" s="38"/>
      <c r="D17" s="15" t="s">
        <v>86</v>
      </c>
      <c r="E17" s="12" t="s">
        <v>87</v>
      </c>
      <c r="F17" s="13" t="s">
        <v>88</v>
      </c>
      <c r="G17" s="14" t="s">
        <v>89</v>
      </c>
      <c r="H17" s="4" t="s">
        <v>7</v>
      </c>
      <c r="I17" s="4">
        <f t="shared" si="0"/>
        <v>0</v>
      </c>
      <c r="J17" s="3" t="s">
        <v>90</v>
      </c>
    </row>
    <row r="18" spans="2:10" ht="72.75" customHeight="1" x14ac:dyDescent="0.25">
      <c r="B18" s="38"/>
      <c r="C18" s="38"/>
      <c r="D18" s="15" t="s">
        <v>91</v>
      </c>
      <c r="E18" s="12" t="s">
        <v>92</v>
      </c>
      <c r="F18" s="13" t="s">
        <v>93</v>
      </c>
      <c r="G18" s="14" t="s">
        <v>94</v>
      </c>
      <c r="H18" s="4" t="s">
        <v>7</v>
      </c>
      <c r="I18" s="4">
        <f t="shared" si="0"/>
        <v>0</v>
      </c>
      <c r="J18" s="3" t="s">
        <v>95</v>
      </c>
    </row>
    <row r="19" spans="2:10" ht="57.75" customHeight="1" x14ac:dyDescent="0.25">
      <c r="B19" s="40" t="s">
        <v>96</v>
      </c>
      <c r="C19" s="37" t="s">
        <v>97</v>
      </c>
      <c r="D19" s="11" t="s">
        <v>98</v>
      </c>
      <c r="E19" s="12" t="s">
        <v>99</v>
      </c>
      <c r="F19" s="13" t="s">
        <v>100</v>
      </c>
      <c r="G19" s="14" t="s">
        <v>101</v>
      </c>
      <c r="H19" s="4" t="s">
        <v>8</v>
      </c>
      <c r="I19" s="4">
        <f t="shared" si="0"/>
        <v>1</v>
      </c>
      <c r="J19" s="10" t="s">
        <v>102</v>
      </c>
    </row>
    <row r="20" spans="2:10" ht="57.75" customHeight="1" x14ac:dyDescent="0.25">
      <c r="B20" s="40"/>
      <c r="C20" s="40"/>
      <c r="D20" s="11" t="s">
        <v>103</v>
      </c>
      <c r="E20" s="12" t="s">
        <v>104</v>
      </c>
      <c r="F20" s="13" t="s">
        <v>105</v>
      </c>
      <c r="G20" s="14" t="s">
        <v>106</v>
      </c>
      <c r="H20" s="4" t="s">
        <v>7</v>
      </c>
      <c r="I20" s="4">
        <f t="shared" si="0"/>
        <v>0</v>
      </c>
      <c r="J20" s="10" t="s">
        <v>107</v>
      </c>
    </row>
    <row r="21" spans="2:10" ht="72" customHeight="1" x14ac:dyDescent="0.25">
      <c r="B21" s="40"/>
      <c r="C21" s="40"/>
      <c r="D21" s="11" t="s">
        <v>108</v>
      </c>
      <c r="E21" s="12" t="s">
        <v>109</v>
      </c>
      <c r="F21" s="13" t="s">
        <v>110</v>
      </c>
      <c r="G21" s="14" t="s">
        <v>111</v>
      </c>
      <c r="H21" s="4" t="s">
        <v>8</v>
      </c>
      <c r="I21" s="4">
        <f t="shared" si="0"/>
        <v>1</v>
      </c>
      <c r="J21" s="10" t="s">
        <v>112</v>
      </c>
    </row>
    <row r="22" spans="2:10" s="16" customFormat="1" ht="72" customHeight="1" x14ac:dyDescent="0.25">
      <c r="B22" s="40"/>
      <c r="C22" s="40"/>
      <c r="D22" s="11" t="s">
        <v>113</v>
      </c>
      <c r="E22" s="12" t="s">
        <v>114</v>
      </c>
      <c r="F22" s="13" t="s">
        <v>115</v>
      </c>
      <c r="G22" s="14" t="s">
        <v>116</v>
      </c>
      <c r="H22" s="4" t="s">
        <v>7</v>
      </c>
      <c r="I22" s="4">
        <f t="shared" si="0"/>
        <v>0</v>
      </c>
      <c r="J22" s="10" t="s">
        <v>117</v>
      </c>
    </row>
    <row r="23" spans="2:10" ht="72.75" customHeight="1" x14ac:dyDescent="0.25">
      <c r="B23" s="40"/>
      <c r="C23" s="40"/>
      <c r="D23" s="11" t="s">
        <v>118</v>
      </c>
      <c r="E23" s="12" t="s">
        <v>119</v>
      </c>
      <c r="F23" s="13" t="s">
        <v>120</v>
      </c>
      <c r="G23" s="14" t="s">
        <v>121</v>
      </c>
      <c r="H23" s="4" t="s">
        <v>7</v>
      </c>
      <c r="I23" s="4">
        <f t="shared" si="0"/>
        <v>0</v>
      </c>
      <c r="J23" s="10" t="s">
        <v>122</v>
      </c>
    </row>
    <row r="24" spans="2:10" ht="72" customHeight="1" x14ac:dyDescent="0.25">
      <c r="B24" s="38" t="s">
        <v>123</v>
      </c>
      <c r="C24" s="39" t="s">
        <v>124</v>
      </c>
      <c r="D24" s="15" t="s">
        <v>125</v>
      </c>
      <c r="E24" s="12" t="s">
        <v>126</v>
      </c>
      <c r="F24" s="13" t="s">
        <v>127</v>
      </c>
      <c r="G24" s="14" t="s">
        <v>128</v>
      </c>
      <c r="H24" s="4" t="s">
        <v>9</v>
      </c>
      <c r="I24" s="4">
        <f t="shared" si="0"/>
        <v>2</v>
      </c>
      <c r="J24" s="3" t="s">
        <v>129</v>
      </c>
    </row>
    <row r="25" spans="2:10" ht="87" customHeight="1" x14ac:dyDescent="0.25">
      <c r="B25" s="38"/>
      <c r="C25" s="38"/>
      <c r="D25" s="15" t="s">
        <v>130</v>
      </c>
      <c r="E25" s="12" t="s">
        <v>131</v>
      </c>
      <c r="F25" s="13" t="s">
        <v>132</v>
      </c>
      <c r="G25" s="14" t="s">
        <v>133</v>
      </c>
      <c r="H25" s="4" t="s">
        <v>8</v>
      </c>
      <c r="I25" s="4">
        <f t="shared" si="0"/>
        <v>1</v>
      </c>
      <c r="J25" s="3" t="s">
        <v>134</v>
      </c>
    </row>
    <row r="26" spans="2:10" ht="57.75" customHeight="1" x14ac:dyDescent="0.25">
      <c r="B26" s="38"/>
      <c r="C26" s="38"/>
      <c r="D26" s="15" t="s">
        <v>135</v>
      </c>
      <c r="E26" s="12" t="s">
        <v>136</v>
      </c>
      <c r="F26" s="13" t="s">
        <v>137</v>
      </c>
      <c r="G26" s="14" t="s">
        <v>138</v>
      </c>
      <c r="H26" s="4" t="s">
        <v>9</v>
      </c>
      <c r="I26" s="4">
        <f t="shared" si="0"/>
        <v>2</v>
      </c>
      <c r="J26" s="3" t="s">
        <v>139</v>
      </c>
    </row>
    <row r="27" spans="2:10" ht="87" customHeight="1" x14ac:dyDescent="0.25">
      <c r="B27" s="38"/>
      <c r="C27" s="38"/>
      <c r="D27" s="15" t="s">
        <v>140</v>
      </c>
      <c r="E27" s="12" t="s">
        <v>141</v>
      </c>
      <c r="F27" s="13" t="s">
        <v>142</v>
      </c>
      <c r="G27" s="14" t="s">
        <v>143</v>
      </c>
      <c r="H27" s="4" t="s">
        <v>8</v>
      </c>
      <c r="I27" s="4">
        <f t="shared" si="0"/>
        <v>1</v>
      </c>
      <c r="J27" s="3" t="s">
        <v>144</v>
      </c>
    </row>
    <row r="28" spans="2:10" ht="57.75" customHeight="1" x14ac:dyDescent="0.25">
      <c r="B28" s="38"/>
      <c r="C28" s="38"/>
      <c r="D28" s="15" t="s">
        <v>145</v>
      </c>
      <c r="E28" s="12" t="s">
        <v>146</v>
      </c>
      <c r="F28" s="13" t="s">
        <v>147</v>
      </c>
      <c r="G28" s="14" t="s">
        <v>148</v>
      </c>
      <c r="H28" s="4" t="s">
        <v>9</v>
      </c>
      <c r="I28" s="4">
        <f t="shared" si="0"/>
        <v>2</v>
      </c>
      <c r="J28" s="3" t="s">
        <v>149</v>
      </c>
    </row>
    <row r="29" spans="2:10" ht="87" customHeight="1" x14ac:dyDescent="0.25">
      <c r="B29" s="38"/>
      <c r="C29" s="38"/>
      <c r="D29" s="15" t="s">
        <v>150</v>
      </c>
      <c r="E29" s="12" t="s">
        <v>151</v>
      </c>
      <c r="F29" s="13" t="s">
        <v>152</v>
      </c>
      <c r="G29" s="14" t="s">
        <v>153</v>
      </c>
      <c r="H29" s="4" t="s">
        <v>8</v>
      </c>
      <c r="I29" s="4">
        <f t="shared" si="0"/>
        <v>1</v>
      </c>
      <c r="J29" s="3" t="s">
        <v>154</v>
      </c>
    </row>
    <row r="30" spans="2:10" ht="115.5" customHeight="1" x14ac:dyDescent="0.25">
      <c r="B30" s="40" t="s">
        <v>155</v>
      </c>
      <c r="C30" s="37" t="s">
        <v>156</v>
      </c>
      <c r="D30" s="11" t="s">
        <v>157</v>
      </c>
      <c r="E30" s="12" t="s">
        <v>158</v>
      </c>
      <c r="F30" s="13" t="s">
        <v>159</v>
      </c>
      <c r="G30" s="14" t="s">
        <v>160</v>
      </c>
      <c r="H30" s="4" t="s">
        <v>8</v>
      </c>
      <c r="I30" s="4">
        <f t="shared" si="0"/>
        <v>1</v>
      </c>
      <c r="J30" s="10" t="s">
        <v>161</v>
      </c>
    </row>
    <row r="31" spans="2:10" ht="87" customHeight="1" x14ac:dyDescent="0.25">
      <c r="B31" s="40"/>
      <c r="C31" s="40"/>
      <c r="D31" s="11" t="s">
        <v>162</v>
      </c>
      <c r="E31" s="12" t="s">
        <v>163</v>
      </c>
      <c r="F31" s="13" t="s">
        <v>164</v>
      </c>
      <c r="G31" s="14" t="s">
        <v>165</v>
      </c>
      <c r="H31" s="4" t="s">
        <v>8</v>
      </c>
      <c r="I31" s="4">
        <f t="shared" si="0"/>
        <v>1</v>
      </c>
      <c r="J31" s="10" t="s">
        <v>166</v>
      </c>
    </row>
    <row r="32" spans="2:10" ht="72" customHeight="1" x14ac:dyDescent="0.25">
      <c r="B32" s="40"/>
      <c r="C32" s="40"/>
      <c r="D32" s="11" t="s">
        <v>167</v>
      </c>
      <c r="E32" s="12" t="s">
        <v>168</v>
      </c>
      <c r="F32" s="13" t="s">
        <v>169</v>
      </c>
      <c r="G32" s="14" t="s">
        <v>170</v>
      </c>
      <c r="H32" s="4" t="s">
        <v>7</v>
      </c>
      <c r="I32" s="4">
        <f t="shared" si="0"/>
        <v>0</v>
      </c>
      <c r="J32" s="10" t="s">
        <v>171</v>
      </c>
    </row>
    <row r="33" spans="2:10" ht="72" customHeight="1" x14ac:dyDescent="0.25">
      <c r="B33" s="40"/>
      <c r="C33" s="40"/>
      <c r="D33" s="11" t="s">
        <v>172</v>
      </c>
      <c r="E33" s="12" t="s">
        <v>173</v>
      </c>
      <c r="F33" s="13" t="s">
        <v>174</v>
      </c>
      <c r="G33" s="14" t="s">
        <v>175</v>
      </c>
      <c r="H33" s="4" t="s">
        <v>7</v>
      </c>
      <c r="I33" s="4">
        <f t="shared" si="0"/>
        <v>0</v>
      </c>
      <c r="J33" s="10" t="s">
        <v>176</v>
      </c>
    </row>
    <row r="34" spans="2:10" ht="72.75" customHeight="1" x14ac:dyDescent="0.25">
      <c r="B34" s="40"/>
      <c r="C34" s="40"/>
      <c r="D34" s="11" t="s">
        <v>177</v>
      </c>
      <c r="E34" s="12" t="s">
        <v>178</v>
      </c>
      <c r="F34" s="13" t="s">
        <v>179</v>
      </c>
      <c r="G34" s="14" t="s">
        <v>180</v>
      </c>
      <c r="H34" s="4" t="s">
        <v>7</v>
      </c>
      <c r="I34" s="4">
        <f t="shared" si="0"/>
        <v>0</v>
      </c>
      <c r="J34" s="10" t="s">
        <v>181</v>
      </c>
    </row>
    <row r="35" spans="2:10" ht="72" customHeight="1" x14ac:dyDescent="0.25">
      <c r="B35" s="38" t="s">
        <v>182</v>
      </c>
      <c r="C35" s="39" t="s">
        <v>183</v>
      </c>
      <c r="D35" s="15" t="s">
        <v>184</v>
      </c>
      <c r="E35" s="12" t="s">
        <v>185</v>
      </c>
      <c r="F35" s="13" t="s">
        <v>186</v>
      </c>
      <c r="G35" s="14" t="s">
        <v>187</v>
      </c>
      <c r="H35" s="4" t="s">
        <v>9</v>
      </c>
      <c r="I35" s="4">
        <f t="shared" si="0"/>
        <v>2</v>
      </c>
      <c r="J35" s="3" t="s">
        <v>188</v>
      </c>
    </row>
    <row r="36" spans="2:10" ht="57.75" customHeight="1" x14ac:dyDescent="0.25">
      <c r="B36" s="38"/>
      <c r="C36" s="38"/>
      <c r="D36" s="15" t="s">
        <v>189</v>
      </c>
      <c r="E36" s="12" t="s">
        <v>190</v>
      </c>
      <c r="F36" s="13" t="s">
        <v>191</v>
      </c>
      <c r="G36" s="14" t="s">
        <v>192</v>
      </c>
      <c r="H36" s="4" t="s">
        <v>8</v>
      </c>
      <c r="I36" s="4">
        <f t="shared" ref="I36:I67" si="1">IF(H36="✅ Best Practice",2,IF(H36="⚠️ Minimally Meets",1,IF(H36="❌ Does Not Meet",0,"—")))</f>
        <v>1</v>
      </c>
      <c r="J36" s="3" t="s">
        <v>193</v>
      </c>
    </row>
    <row r="37" spans="2:10" ht="72" customHeight="1" x14ac:dyDescent="0.25">
      <c r="B37" s="38"/>
      <c r="C37" s="38"/>
      <c r="D37" s="15" t="s">
        <v>194</v>
      </c>
      <c r="E37" s="12" t="s">
        <v>195</v>
      </c>
      <c r="F37" s="13" t="s">
        <v>196</v>
      </c>
      <c r="G37" s="14" t="s">
        <v>197</v>
      </c>
      <c r="H37" s="4" t="s">
        <v>7</v>
      </c>
      <c r="I37" s="4">
        <f t="shared" si="1"/>
        <v>0</v>
      </c>
      <c r="J37" s="3" t="s">
        <v>198</v>
      </c>
    </row>
    <row r="38" spans="2:10" ht="58.5" customHeight="1" x14ac:dyDescent="0.25">
      <c r="B38" s="38"/>
      <c r="C38" s="38"/>
      <c r="D38" s="15" t="s">
        <v>199</v>
      </c>
      <c r="E38" s="12" t="s">
        <v>200</v>
      </c>
      <c r="F38" s="13" t="s">
        <v>201</v>
      </c>
      <c r="G38" s="14" t="s">
        <v>202</v>
      </c>
      <c r="H38" s="4" t="s">
        <v>7</v>
      </c>
      <c r="I38" s="4">
        <f t="shared" si="1"/>
        <v>0</v>
      </c>
      <c r="J38" s="3" t="s">
        <v>203</v>
      </c>
    </row>
    <row r="39" spans="2:10" ht="101.25" customHeight="1" x14ac:dyDescent="0.25">
      <c r="B39" s="40" t="s">
        <v>204</v>
      </c>
      <c r="C39" s="37" t="s">
        <v>205</v>
      </c>
      <c r="D39" s="11" t="s">
        <v>206</v>
      </c>
      <c r="E39" s="12" t="s">
        <v>207</v>
      </c>
      <c r="F39" s="13" t="s">
        <v>208</v>
      </c>
      <c r="G39" s="14" t="s">
        <v>209</v>
      </c>
      <c r="H39" s="4" t="s">
        <v>9</v>
      </c>
      <c r="I39" s="4">
        <f t="shared" si="1"/>
        <v>2</v>
      </c>
      <c r="J39" s="10" t="s">
        <v>210</v>
      </c>
    </row>
    <row r="40" spans="2:10" ht="87" customHeight="1" x14ac:dyDescent="0.25">
      <c r="B40" s="40"/>
      <c r="C40" s="40"/>
      <c r="D40" s="11" t="s">
        <v>211</v>
      </c>
      <c r="E40" s="12" t="s">
        <v>212</v>
      </c>
      <c r="F40" s="13" t="s">
        <v>213</v>
      </c>
      <c r="G40" s="14" t="s">
        <v>214</v>
      </c>
      <c r="H40" s="4" t="s">
        <v>8</v>
      </c>
      <c r="I40" s="4">
        <f t="shared" si="1"/>
        <v>1</v>
      </c>
      <c r="J40" s="10" t="s">
        <v>215</v>
      </c>
    </row>
    <row r="41" spans="2:10" ht="131.25" customHeight="1" x14ac:dyDescent="0.25">
      <c r="B41" s="40"/>
      <c r="C41" s="40"/>
      <c r="D41" s="11" t="s">
        <v>216</v>
      </c>
      <c r="E41" s="12" t="s">
        <v>217</v>
      </c>
      <c r="F41" s="13" t="s">
        <v>218</v>
      </c>
      <c r="G41" s="14" t="s">
        <v>219</v>
      </c>
      <c r="H41" s="4" t="s">
        <v>8</v>
      </c>
      <c r="I41" s="4">
        <f t="shared" si="1"/>
        <v>1</v>
      </c>
      <c r="J41" s="10" t="s">
        <v>220</v>
      </c>
    </row>
    <row r="42" spans="2:10" ht="330.75" customHeight="1" x14ac:dyDescent="0.25">
      <c r="B42" s="40"/>
      <c r="C42" s="40"/>
      <c r="D42" s="11" t="s">
        <v>221</v>
      </c>
      <c r="E42" s="12" t="s">
        <v>222</v>
      </c>
      <c r="F42" s="13" t="s">
        <v>223</v>
      </c>
      <c r="G42" s="14" t="s">
        <v>224</v>
      </c>
      <c r="H42" s="4" t="s">
        <v>9</v>
      </c>
      <c r="I42" s="4">
        <f t="shared" si="1"/>
        <v>2</v>
      </c>
      <c r="J42" s="10" t="s">
        <v>225</v>
      </c>
    </row>
    <row r="43" spans="2:10" ht="68.25" customHeight="1" x14ac:dyDescent="0.25">
      <c r="B43" s="38" t="s">
        <v>226</v>
      </c>
      <c r="C43" s="39" t="s">
        <v>227</v>
      </c>
      <c r="D43" s="15" t="s">
        <v>221</v>
      </c>
      <c r="E43" s="12" t="s">
        <v>222</v>
      </c>
      <c r="F43" s="13" t="s">
        <v>223</v>
      </c>
      <c r="G43" s="14" t="s">
        <v>224</v>
      </c>
      <c r="H43" s="4" t="s">
        <v>9</v>
      </c>
      <c r="I43" s="3">
        <f t="shared" si="1"/>
        <v>2</v>
      </c>
      <c r="J43" s="3" t="s">
        <v>228</v>
      </c>
    </row>
    <row r="44" spans="2:10" ht="72" customHeight="1" x14ac:dyDescent="0.25">
      <c r="B44" s="38"/>
      <c r="C44" s="38"/>
      <c r="D44" s="15" t="s">
        <v>229</v>
      </c>
      <c r="E44" s="12" t="s">
        <v>230</v>
      </c>
      <c r="F44" s="13" t="s">
        <v>231</v>
      </c>
      <c r="G44" s="14" t="s">
        <v>232</v>
      </c>
      <c r="H44" s="4" t="s">
        <v>9</v>
      </c>
      <c r="I44" s="3">
        <f t="shared" si="1"/>
        <v>2</v>
      </c>
      <c r="J44" s="3" t="s">
        <v>233</v>
      </c>
    </row>
    <row r="45" spans="2:10" ht="72" customHeight="1" x14ac:dyDescent="0.25">
      <c r="B45" s="38"/>
      <c r="C45" s="38"/>
      <c r="D45" s="15" t="s">
        <v>234</v>
      </c>
      <c r="E45" s="12" t="s">
        <v>235</v>
      </c>
      <c r="F45" s="13" t="s">
        <v>236</v>
      </c>
      <c r="G45" s="14" t="s">
        <v>237</v>
      </c>
      <c r="H45" s="4" t="s">
        <v>9</v>
      </c>
      <c r="I45" s="3">
        <f t="shared" si="1"/>
        <v>2</v>
      </c>
      <c r="J45" s="3" t="s">
        <v>238</v>
      </c>
    </row>
    <row r="46" spans="2:10" ht="197.25" customHeight="1" x14ac:dyDescent="0.25">
      <c r="B46" s="38"/>
      <c r="C46" s="38"/>
      <c r="D46" s="15" t="s">
        <v>239</v>
      </c>
      <c r="E46" s="12" t="s">
        <v>240</v>
      </c>
      <c r="F46" s="13" t="s">
        <v>241</v>
      </c>
      <c r="G46" s="14" t="s">
        <v>242</v>
      </c>
      <c r="H46" s="4" t="s">
        <v>9</v>
      </c>
      <c r="I46" s="3">
        <f t="shared" si="1"/>
        <v>2</v>
      </c>
      <c r="J46" s="3" t="s">
        <v>243</v>
      </c>
    </row>
    <row r="47" spans="2:10" ht="28.5" customHeight="1" x14ac:dyDescent="0.25">
      <c r="B47" s="40" t="s">
        <v>244</v>
      </c>
      <c r="C47" s="37" t="s">
        <v>245</v>
      </c>
      <c r="D47" s="11" t="s">
        <v>246</v>
      </c>
      <c r="E47" s="12" t="s">
        <v>247</v>
      </c>
      <c r="F47" s="13" t="s">
        <v>248</v>
      </c>
      <c r="G47" s="14" t="s">
        <v>249</v>
      </c>
      <c r="H47" s="4" t="s">
        <v>9</v>
      </c>
      <c r="I47" s="4">
        <f t="shared" si="1"/>
        <v>2</v>
      </c>
      <c r="J47" s="10" t="s">
        <v>250</v>
      </c>
    </row>
    <row r="48" spans="2:10" ht="60" customHeight="1" x14ac:dyDescent="0.25">
      <c r="B48" s="40"/>
      <c r="C48" s="40"/>
      <c r="D48" s="11" t="s">
        <v>251</v>
      </c>
      <c r="E48" s="12" t="s">
        <v>252</v>
      </c>
      <c r="F48" s="13" t="s">
        <v>253</v>
      </c>
      <c r="G48" s="14" t="s">
        <v>254</v>
      </c>
      <c r="H48" s="4" t="s">
        <v>9</v>
      </c>
      <c r="I48" s="1">
        <f t="shared" si="1"/>
        <v>2</v>
      </c>
      <c r="J48" s="10" t="s">
        <v>255</v>
      </c>
    </row>
    <row r="49" spans="2:10" ht="60" customHeight="1" x14ac:dyDescent="0.25">
      <c r="B49" s="40"/>
      <c r="C49" s="40"/>
      <c r="D49" s="11" t="s">
        <v>256</v>
      </c>
      <c r="E49" s="12" t="s">
        <v>257</v>
      </c>
      <c r="F49" s="13" t="s">
        <v>258</v>
      </c>
      <c r="G49" s="14" t="s">
        <v>259</v>
      </c>
      <c r="H49" s="4" t="s">
        <v>9</v>
      </c>
      <c r="I49" s="1">
        <f t="shared" si="1"/>
        <v>2</v>
      </c>
      <c r="J49" s="10" t="s">
        <v>260</v>
      </c>
    </row>
    <row r="50" spans="2:10" ht="45" customHeight="1" x14ac:dyDescent="0.25">
      <c r="B50" s="40"/>
      <c r="C50" s="40"/>
      <c r="D50" s="11" t="s">
        <v>261</v>
      </c>
      <c r="E50" s="12" t="s">
        <v>262</v>
      </c>
      <c r="F50" s="13" t="s">
        <v>263</v>
      </c>
      <c r="G50" s="14" t="s">
        <v>264</v>
      </c>
      <c r="H50" s="4" t="s">
        <v>9</v>
      </c>
      <c r="I50" s="1">
        <f t="shared" si="1"/>
        <v>2</v>
      </c>
      <c r="J50" s="10" t="s">
        <v>265</v>
      </c>
    </row>
    <row r="51" spans="2:10" ht="45.75" customHeight="1" x14ac:dyDescent="0.25">
      <c r="B51" s="38" t="s">
        <v>266</v>
      </c>
      <c r="C51" s="39" t="s">
        <v>267</v>
      </c>
      <c r="D51" s="15" t="s">
        <v>268</v>
      </c>
      <c r="E51" s="12" t="s">
        <v>269</v>
      </c>
      <c r="F51" s="13" t="s">
        <v>270</v>
      </c>
      <c r="G51" s="14" t="s">
        <v>271</v>
      </c>
      <c r="H51" s="4" t="s">
        <v>7</v>
      </c>
      <c r="I51" s="4">
        <f t="shared" si="1"/>
        <v>0</v>
      </c>
      <c r="J51" s="3" t="s">
        <v>272</v>
      </c>
    </row>
    <row r="52" spans="2:10" ht="45" customHeight="1" x14ac:dyDescent="0.25">
      <c r="B52" s="38"/>
      <c r="C52" s="38"/>
      <c r="D52" s="15" t="s">
        <v>273</v>
      </c>
      <c r="E52" s="12" t="s">
        <v>274</v>
      </c>
      <c r="F52" s="13" t="s">
        <v>275</v>
      </c>
      <c r="G52" s="14" t="s">
        <v>276</v>
      </c>
      <c r="H52" s="4" t="s">
        <v>8</v>
      </c>
      <c r="I52" s="4">
        <f t="shared" si="1"/>
        <v>1</v>
      </c>
      <c r="J52" s="3" t="s">
        <v>277</v>
      </c>
    </row>
    <row r="53" spans="2:10" ht="45" customHeight="1" x14ac:dyDescent="0.25">
      <c r="B53" s="38"/>
      <c r="C53" s="38"/>
      <c r="D53" s="15" t="s">
        <v>278</v>
      </c>
      <c r="E53" s="12" t="s">
        <v>279</v>
      </c>
      <c r="F53" s="13" t="s">
        <v>280</v>
      </c>
      <c r="G53" s="14" t="s">
        <v>281</v>
      </c>
      <c r="H53" s="4" t="s">
        <v>9</v>
      </c>
      <c r="I53" s="4">
        <f t="shared" si="1"/>
        <v>2</v>
      </c>
      <c r="J53" s="3" t="s">
        <v>282</v>
      </c>
    </row>
    <row r="54" spans="2:10" ht="45" customHeight="1" x14ac:dyDescent="0.25">
      <c r="B54" s="38"/>
      <c r="C54" s="38"/>
      <c r="D54" s="15" t="s">
        <v>283</v>
      </c>
      <c r="E54" s="12" t="s">
        <v>284</v>
      </c>
      <c r="F54" s="13" t="s">
        <v>285</v>
      </c>
      <c r="G54" s="14" t="s">
        <v>286</v>
      </c>
      <c r="H54" s="4" t="s">
        <v>8</v>
      </c>
      <c r="I54" s="4">
        <f t="shared" si="1"/>
        <v>1</v>
      </c>
      <c r="J54" s="3" t="s">
        <v>287</v>
      </c>
    </row>
    <row r="55" spans="2:10" ht="45.75" customHeight="1" x14ac:dyDescent="0.25">
      <c r="B55" s="40" t="s">
        <v>288</v>
      </c>
      <c r="C55" s="37" t="s">
        <v>289</v>
      </c>
      <c r="D55" s="11" t="s">
        <v>290</v>
      </c>
      <c r="E55" s="12" t="s">
        <v>291</v>
      </c>
      <c r="F55" s="13" t="s">
        <v>292</v>
      </c>
      <c r="G55" s="14" t="s">
        <v>293</v>
      </c>
      <c r="H55" s="4" t="s">
        <v>8</v>
      </c>
      <c r="I55" s="4">
        <f t="shared" si="1"/>
        <v>1</v>
      </c>
      <c r="J55" s="10" t="s">
        <v>294</v>
      </c>
    </row>
    <row r="56" spans="2:10" ht="45" customHeight="1" x14ac:dyDescent="0.25">
      <c r="B56" s="40"/>
      <c r="C56" s="40"/>
      <c r="D56" s="11" t="s">
        <v>295</v>
      </c>
      <c r="E56" s="12" t="s">
        <v>296</v>
      </c>
      <c r="F56" s="13" t="s">
        <v>297</v>
      </c>
      <c r="G56" s="14" t="s">
        <v>298</v>
      </c>
      <c r="H56" s="4" t="s">
        <v>7</v>
      </c>
      <c r="I56" s="4">
        <f t="shared" si="1"/>
        <v>0</v>
      </c>
      <c r="J56" s="10" t="s">
        <v>299</v>
      </c>
    </row>
    <row r="57" spans="2:10" ht="45" customHeight="1" x14ac:dyDescent="0.25">
      <c r="B57" s="40"/>
      <c r="C57" s="40"/>
      <c r="D57" s="11" t="s">
        <v>300</v>
      </c>
      <c r="E57" s="12" t="s">
        <v>301</v>
      </c>
      <c r="F57" s="13" t="s">
        <v>302</v>
      </c>
      <c r="G57" s="14" t="s">
        <v>303</v>
      </c>
      <c r="H57" s="4" t="s">
        <v>7</v>
      </c>
      <c r="I57" s="4">
        <f t="shared" si="1"/>
        <v>0</v>
      </c>
      <c r="J57" s="10" t="s">
        <v>304</v>
      </c>
    </row>
    <row r="58" spans="2:10" ht="27.75" customHeight="1" x14ac:dyDescent="0.25">
      <c r="B58" s="38" t="s">
        <v>305</v>
      </c>
      <c r="C58" s="39" t="s">
        <v>306</v>
      </c>
      <c r="D58" s="15" t="s">
        <v>307</v>
      </c>
      <c r="E58" s="12" t="s">
        <v>284</v>
      </c>
      <c r="F58" s="13" t="s">
        <v>285</v>
      </c>
      <c r="G58" s="14" t="s">
        <v>286</v>
      </c>
      <c r="H58" s="4" t="s">
        <v>7</v>
      </c>
      <c r="I58" s="4">
        <f t="shared" si="1"/>
        <v>0</v>
      </c>
      <c r="J58" s="3" t="s">
        <v>308</v>
      </c>
    </row>
    <row r="59" spans="2:10" ht="45" customHeight="1" x14ac:dyDescent="0.25">
      <c r="B59" s="38"/>
      <c r="C59" s="38"/>
      <c r="D59" s="15" t="s">
        <v>309</v>
      </c>
      <c r="E59" s="12" t="s">
        <v>284</v>
      </c>
      <c r="F59" s="13" t="s">
        <v>285</v>
      </c>
      <c r="G59" s="14" t="s">
        <v>286</v>
      </c>
      <c r="H59" s="4" t="s">
        <v>7</v>
      </c>
      <c r="I59" s="4">
        <f t="shared" si="1"/>
        <v>0</v>
      </c>
      <c r="J59" s="3" t="s">
        <v>310</v>
      </c>
    </row>
    <row r="60" spans="2:10" ht="45" customHeight="1" x14ac:dyDescent="0.25">
      <c r="B60" s="38"/>
      <c r="C60" s="38"/>
      <c r="D60" s="15" t="s">
        <v>311</v>
      </c>
      <c r="E60" s="12" t="s">
        <v>284</v>
      </c>
      <c r="F60" s="13" t="s">
        <v>285</v>
      </c>
      <c r="G60" s="14" t="s">
        <v>286</v>
      </c>
      <c r="H60" s="4" t="s">
        <v>9</v>
      </c>
      <c r="I60" s="4">
        <f t="shared" si="1"/>
        <v>2</v>
      </c>
      <c r="J60" s="3" t="s">
        <v>312</v>
      </c>
    </row>
    <row r="61" spans="2:10" ht="15" customHeight="1" x14ac:dyDescent="0.25">
      <c r="B61" s="17"/>
      <c r="C61" s="18"/>
      <c r="D61" s="18"/>
      <c r="E61" s="18"/>
      <c r="F61" s="18"/>
      <c r="G61" s="18"/>
      <c r="H61" s="19"/>
      <c r="I61" s="19"/>
      <c r="J61" s="18"/>
    </row>
  </sheetData>
  <autoFilter ref="B1:J60" xr:uid="{00000000-0009-0000-00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mergeCells count="30">
    <mergeCell ref="B51:B54"/>
    <mergeCell ref="C51:C54"/>
    <mergeCell ref="B55:B57"/>
    <mergeCell ref="C55:C57"/>
    <mergeCell ref="B58:B60"/>
    <mergeCell ref="C58:C60"/>
    <mergeCell ref="B39:B42"/>
    <mergeCell ref="C39:C42"/>
    <mergeCell ref="B43:B46"/>
    <mergeCell ref="C43:C46"/>
    <mergeCell ref="B47:B50"/>
    <mergeCell ref="C47:C50"/>
    <mergeCell ref="B24:B29"/>
    <mergeCell ref="C24:C29"/>
    <mergeCell ref="B30:B34"/>
    <mergeCell ref="C30:C34"/>
    <mergeCell ref="B35:B38"/>
    <mergeCell ref="C35:C38"/>
    <mergeCell ref="B11:B14"/>
    <mergeCell ref="C11:C14"/>
    <mergeCell ref="B15:B18"/>
    <mergeCell ref="C15:C18"/>
    <mergeCell ref="B19:B23"/>
    <mergeCell ref="C19:C23"/>
    <mergeCell ref="B1:J1"/>
    <mergeCell ref="B2:J2"/>
    <mergeCell ref="B4:B7"/>
    <mergeCell ref="C4:C7"/>
    <mergeCell ref="B8:B10"/>
    <mergeCell ref="C8:C10"/>
  </mergeCells>
  <conditionalFormatting sqref="H4 H5:I42">
    <cfRule type="cellIs" dxfId="5" priority="14" operator="equal">
      <formula>"✅ Best Practice"</formula>
    </cfRule>
    <cfRule type="cellIs" dxfId="4" priority="15" operator="equal">
      <formula>"⚠️ Minimally Meets"</formula>
    </cfRule>
    <cfRule type="cellIs" dxfId="3" priority="16" operator="equal">
      <formula>"❌ Does Not Meet"</formula>
    </cfRule>
  </conditionalFormatting>
  <conditionalFormatting sqref="H43:H60">
    <cfRule type="cellIs" dxfId="2" priority="2" operator="equal">
      <formula>"✅ Best Practice"</formula>
    </cfRule>
    <cfRule type="cellIs" dxfId="1" priority="3" operator="equal">
      <formula>"⚠️ Minimally Meets"</formula>
    </cfRule>
    <cfRule type="cellIs" dxfId="0" priority="4" operator="equal">
      <formula>"❌ Does Not Meet"</formula>
    </cfRule>
  </conditionalFormatting>
  <dataValidations count="3">
    <dataValidation type="list" allowBlank="1" showInputMessage="1" showErrorMessage="1" sqref="H4:I14 H19:I42 H43:H46" xr:uid="{00000000-0002-0000-0200-000000000000}">
      <formula1>"❌ Does Not Meet,⚠️ Minimally Meets,✅ Best Practice"</formula1>
      <formula2>0</formula2>
    </dataValidation>
    <dataValidation type="list" allowBlank="1" showInputMessage="1" showErrorMessage="1" sqref="H15:I18" xr:uid="{00000000-0002-0000-0200-000001000000}">
      <formula1>"❌ Does Not Meet,⚠️ Minimally Meets,✅ Best Practice,Not Applicable"</formula1>
      <formula2>0</formula2>
    </dataValidation>
    <dataValidation type="list" allowBlank="1" sqref="H47:H60" xr:uid="{00000000-0002-0000-0200-000002000000}">
      <formula1>"✅ Best Practice,⚠️ Minimally Meets,❌ Does Not Meet,Not Applicable"</formula1>
      <formula2>0</formula2>
    </dataValidation>
  </dataValidations>
  <pageMargins left="0.7" right="0.7" top="0.75" bottom="0.75" header="0.3" footer="0.3"/>
  <pageSetup fitToHeight="0" orientation="landscape" horizontalDpi="300" verticalDpi="300"/>
  <headerFooter>
    <oddHeader>&amp;CBristlecone Pitch Check List - Detailed for $1M+ Deals</oddHeader>
    <oddFooter>&amp;CPage &amp;P of &amp;N&amp;RConfidential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B1:G24"/>
  <sheetViews>
    <sheetView zoomScaleNormal="100" workbookViewId="0">
      <selection activeCell="E27" sqref="E27"/>
    </sheetView>
  </sheetViews>
  <sheetFormatPr defaultColWidth="8.5703125" defaultRowHeight="15" x14ac:dyDescent="0.25"/>
  <cols>
    <col min="1" max="1" width="4" customWidth="1"/>
    <col min="2" max="2" width="38" customWidth="1"/>
    <col min="3" max="5" width="14" customWidth="1"/>
    <col min="6" max="6" width="16" customWidth="1"/>
    <col min="7" max="7" width="40" customWidth="1"/>
  </cols>
  <sheetData>
    <row r="1" spans="2:7" ht="18" customHeight="1" x14ac:dyDescent="0.25">
      <c r="B1" s="41" t="s">
        <v>313</v>
      </c>
      <c r="C1" s="41"/>
      <c r="D1" s="41"/>
      <c r="E1" s="41"/>
      <c r="F1" s="41"/>
      <c r="G1" s="41"/>
    </row>
    <row r="3" spans="2:7" ht="25.5" customHeight="1" x14ac:dyDescent="0.25">
      <c r="B3" s="20" t="s">
        <v>4</v>
      </c>
      <c r="C3" s="20" t="s">
        <v>314</v>
      </c>
      <c r="D3" s="20" t="s">
        <v>315</v>
      </c>
      <c r="E3" s="20" t="s">
        <v>316</v>
      </c>
      <c r="F3" s="20" t="s">
        <v>317</v>
      </c>
      <c r="G3" s="20" t="s">
        <v>1</v>
      </c>
    </row>
    <row r="4" spans="2:7" ht="14.25" customHeight="1" x14ac:dyDescent="0.25">
      <c r="B4" s="21" t="s">
        <v>13</v>
      </c>
      <c r="C4" s="22">
        <v>7.0000000000000007E-2</v>
      </c>
      <c r="D4" s="23">
        <f>AVERAGE('Pitch Checklist'!I4:I7)</f>
        <v>1.5</v>
      </c>
      <c r="E4" s="22">
        <f t="shared" ref="E4:E17" si="0">D4/2</f>
        <v>0.75</v>
      </c>
      <c r="F4" s="22">
        <f t="shared" ref="F4:F17" si="1">E4*C4</f>
        <v>5.2500000000000005E-2</v>
      </c>
      <c r="G4" s="21"/>
    </row>
    <row r="5" spans="2:7" ht="14.25" customHeight="1" x14ac:dyDescent="0.25">
      <c r="B5" s="24" t="s">
        <v>35</v>
      </c>
      <c r="C5" s="25">
        <v>0.1</v>
      </c>
      <c r="D5" s="26">
        <f>AVERAGE('Pitch Checklist'!I8:I10)</f>
        <v>1.6666666666666667</v>
      </c>
      <c r="E5" s="25">
        <f t="shared" si="0"/>
        <v>0.83333333333333337</v>
      </c>
      <c r="F5" s="25">
        <f t="shared" si="1"/>
        <v>8.3333333333333343E-2</v>
      </c>
      <c r="G5" s="24"/>
    </row>
    <row r="6" spans="2:7" ht="14.25" customHeight="1" x14ac:dyDescent="0.25">
      <c r="B6" s="21" t="s">
        <v>52</v>
      </c>
      <c r="C6" s="22">
        <v>7.0000000000000007E-2</v>
      </c>
      <c r="D6" s="23">
        <f>AVERAGE('Pitch Checklist'!I11:I14)</f>
        <v>1.5</v>
      </c>
      <c r="E6" s="22">
        <f t="shared" si="0"/>
        <v>0.75</v>
      </c>
      <c r="F6" s="22">
        <f t="shared" si="1"/>
        <v>5.2500000000000005E-2</v>
      </c>
      <c r="G6" s="21"/>
    </row>
    <row r="7" spans="2:7" ht="14.25" customHeight="1" x14ac:dyDescent="0.25">
      <c r="B7" s="24" t="s">
        <v>74</v>
      </c>
      <c r="C7" s="25">
        <v>0.1</v>
      </c>
      <c r="D7" s="26">
        <f>AVERAGE('Pitch Checklist'!I15:I18)</f>
        <v>0</v>
      </c>
      <c r="E7" s="25">
        <f t="shared" si="0"/>
        <v>0</v>
      </c>
      <c r="F7" s="25">
        <f t="shared" si="1"/>
        <v>0</v>
      </c>
      <c r="G7" s="24"/>
    </row>
    <row r="8" spans="2:7" ht="14.25" customHeight="1" x14ac:dyDescent="0.25">
      <c r="B8" s="21" t="s">
        <v>96</v>
      </c>
      <c r="C8" s="22">
        <v>0.06</v>
      </c>
      <c r="D8" s="23">
        <f>AVERAGE('Pitch Checklist'!I19:I23)</f>
        <v>0.4</v>
      </c>
      <c r="E8" s="22">
        <f t="shared" si="0"/>
        <v>0.2</v>
      </c>
      <c r="F8" s="22">
        <f t="shared" si="1"/>
        <v>1.2E-2</v>
      </c>
      <c r="G8" s="21"/>
    </row>
    <row r="9" spans="2:7" ht="14.25" customHeight="1" x14ac:dyDescent="0.25">
      <c r="B9" s="24" t="s">
        <v>123</v>
      </c>
      <c r="C9" s="25">
        <v>0.05</v>
      </c>
      <c r="D9" s="26">
        <f>AVERAGE('Pitch Checklist'!I24:I29)</f>
        <v>1.5</v>
      </c>
      <c r="E9" s="25">
        <f t="shared" si="0"/>
        <v>0.75</v>
      </c>
      <c r="F9" s="25">
        <f t="shared" si="1"/>
        <v>3.7500000000000006E-2</v>
      </c>
      <c r="G9" s="24"/>
    </row>
    <row r="10" spans="2:7" ht="14.25" customHeight="1" x14ac:dyDescent="0.25">
      <c r="B10" s="21" t="s">
        <v>155</v>
      </c>
      <c r="C10" s="22">
        <v>0.05</v>
      </c>
      <c r="D10" s="23">
        <f>AVERAGE('Pitch Checklist'!I30:I34)</f>
        <v>0.4</v>
      </c>
      <c r="E10" s="22">
        <f t="shared" si="0"/>
        <v>0.2</v>
      </c>
      <c r="F10" s="22">
        <f t="shared" si="1"/>
        <v>1.0000000000000002E-2</v>
      </c>
      <c r="G10" s="21"/>
    </row>
    <row r="11" spans="2:7" ht="14.25" customHeight="1" x14ac:dyDescent="0.25">
      <c r="B11" s="24" t="s">
        <v>182</v>
      </c>
      <c r="C11" s="25">
        <v>0.05</v>
      </c>
      <c r="D11" s="26">
        <f>AVERAGE('Pitch Checklist'!I35:I38)</f>
        <v>0.75</v>
      </c>
      <c r="E11" s="25">
        <f t="shared" si="0"/>
        <v>0.375</v>
      </c>
      <c r="F11" s="25">
        <f t="shared" si="1"/>
        <v>1.8750000000000003E-2</v>
      </c>
      <c r="G11" s="24"/>
    </row>
    <row r="12" spans="2:7" ht="14.25" customHeight="1" x14ac:dyDescent="0.25">
      <c r="B12" s="21" t="s">
        <v>204</v>
      </c>
      <c r="C12" s="22">
        <v>0.12</v>
      </c>
      <c r="D12" s="23">
        <f>AVERAGE('Pitch Checklist'!I39:I42)</f>
        <v>1.5</v>
      </c>
      <c r="E12" s="22">
        <f t="shared" si="0"/>
        <v>0.75</v>
      </c>
      <c r="F12" s="22">
        <f t="shared" si="1"/>
        <v>0.09</v>
      </c>
      <c r="G12" s="21"/>
    </row>
    <row r="13" spans="2:7" ht="24.75" customHeight="1" x14ac:dyDescent="0.25">
      <c r="B13" s="24" t="s">
        <v>226</v>
      </c>
      <c r="C13" s="25">
        <v>0.08</v>
      </c>
      <c r="D13" s="26">
        <f>AVERAGE('Pitch Checklist'!I43:I46)</f>
        <v>2</v>
      </c>
      <c r="E13" s="25">
        <f t="shared" si="0"/>
        <v>1</v>
      </c>
      <c r="F13" s="25">
        <f t="shared" si="1"/>
        <v>0.08</v>
      </c>
      <c r="G13" s="24"/>
    </row>
    <row r="14" spans="2:7" ht="24.75" customHeight="1" x14ac:dyDescent="0.25">
      <c r="B14" s="21" t="s">
        <v>244</v>
      </c>
      <c r="C14" s="25">
        <v>7.0000000000000007E-2</v>
      </c>
      <c r="D14" s="26">
        <f>AVERAGE('Pitch Checklist'!I47:I50)</f>
        <v>2</v>
      </c>
      <c r="E14" s="25">
        <f t="shared" si="0"/>
        <v>1</v>
      </c>
      <c r="F14" s="25">
        <f t="shared" si="1"/>
        <v>7.0000000000000007E-2</v>
      </c>
      <c r="G14" s="24"/>
    </row>
    <row r="15" spans="2:7" ht="14.25" customHeight="1" x14ac:dyDescent="0.25">
      <c r="B15" s="24" t="s">
        <v>266</v>
      </c>
      <c r="C15" s="27">
        <v>0.08</v>
      </c>
      <c r="D15" s="28">
        <f>AVERAGE('Pitch Checklist'!I51:I54)</f>
        <v>1</v>
      </c>
      <c r="E15" s="27">
        <f t="shared" si="0"/>
        <v>0.5</v>
      </c>
      <c r="F15" s="27">
        <f t="shared" si="1"/>
        <v>0.04</v>
      </c>
      <c r="G15" s="29"/>
    </row>
    <row r="16" spans="2:7" ht="24.75" customHeight="1" x14ac:dyDescent="0.25">
      <c r="B16" s="21" t="s">
        <v>288</v>
      </c>
      <c r="C16" s="27">
        <v>7.0000000000000007E-2</v>
      </c>
      <c r="D16" s="28">
        <f>AVERAGE('Pitch Checklist'!I55:I57)</f>
        <v>0.33333333333333331</v>
      </c>
      <c r="E16" s="27">
        <f t="shared" si="0"/>
        <v>0.16666666666666666</v>
      </c>
      <c r="F16" s="27">
        <f t="shared" si="1"/>
        <v>1.1666666666666667E-2</v>
      </c>
      <c r="G16" s="29"/>
    </row>
    <row r="17" spans="2:7" ht="14.25" customHeight="1" x14ac:dyDescent="0.25">
      <c r="B17" s="24" t="s">
        <v>305</v>
      </c>
      <c r="C17" s="27">
        <v>0.03</v>
      </c>
      <c r="D17" s="28">
        <f>AVERAGE('Pitch Checklist'!I58:I60)</f>
        <v>0.66666666666666663</v>
      </c>
      <c r="E17" s="27">
        <f t="shared" si="0"/>
        <v>0.33333333333333331</v>
      </c>
      <c r="F17" s="27">
        <f t="shared" si="1"/>
        <v>9.9999999999999985E-3</v>
      </c>
      <c r="G17" s="29"/>
    </row>
    <row r="18" spans="2:7" ht="14.25" customHeight="1" x14ac:dyDescent="0.25">
      <c r="B18" s="30" t="s">
        <v>2</v>
      </c>
      <c r="C18" s="31">
        <f>SUM(C4:C17)</f>
        <v>1</v>
      </c>
      <c r="D18" s="32"/>
      <c r="E18" s="32"/>
      <c r="F18" s="33">
        <f>SUM(F4:F17)</f>
        <v>0.56825000000000014</v>
      </c>
      <c r="G18" s="30" t="s">
        <v>318</v>
      </c>
    </row>
    <row r="20" spans="2:7" ht="15" customHeight="1" x14ac:dyDescent="0.25">
      <c r="B20" s="42" t="str">
        <f>IF(F18&gt;=0.8,"✅ SUBMISSION-READY (≥80%)",IF(F18&gt;=0.6,"⚠️ NEEDS WORK (60-79%) — address High/Critical gaps",IF(F18&gt;0,"❌ NOT READY (&lt;60%) — major rework required","— awaiting ratings —")))</f>
        <v>❌ NOT READY (&lt;60%) — major rework required</v>
      </c>
      <c r="C20" s="42"/>
      <c r="D20" s="42"/>
      <c r="E20" s="42"/>
      <c r="F20" s="42"/>
      <c r="G20" s="42"/>
    </row>
    <row r="22" spans="2:7" ht="14.25" customHeight="1" x14ac:dyDescent="0.25">
      <c r="B22" s="43" t="s">
        <v>319</v>
      </c>
      <c r="C22" s="43"/>
      <c r="D22" s="43"/>
      <c r="E22" s="43"/>
      <c r="F22" s="43"/>
      <c r="G22" s="43"/>
    </row>
    <row r="23" spans="2:7" ht="14.25" customHeight="1" x14ac:dyDescent="0.25">
      <c r="B23" s="43"/>
      <c r="C23" s="43"/>
      <c r="D23" s="43"/>
      <c r="E23" s="43"/>
      <c r="F23" s="43"/>
      <c r="G23" s="43"/>
    </row>
    <row r="24" spans="2:7" ht="14.25" customHeight="1" x14ac:dyDescent="0.25">
      <c r="B24" s="43"/>
      <c r="C24" s="43"/>
      <c r="D24" s="43"/>
      <c r="E24" s="43"/>
      <c r="F24" s="43"/>
      <c r="G24" s="43"/>
    </row>
  </sheetData>
  <mergeCells count="3">
    <mergeCell ref="B1:G1"/>
    <mergeCell ref="B20:G20"/>
    <mergeCell ref="B22:G24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Pitch Checklist</vt:lpstr>
      <vt:lpstr>Summary and Scoring</vt:lpstr>
      <vt:lpstr>'Pitch Checklist'!Print_Area</vt:lpstr>
      <vt:lpstr>'Pitch Checklist'!Print_Titles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Jennifer Chew</dc:creator>
  <dc:description/>
  <cp:lastModifiedBy>Priya Doshi</cp:lastModifiedBy>
  <cp:revision>0</cp:revision>
  <dcterms:created xsi:type="dcterms:W3CDTF">2025-01-29T17:34:18Z</dcterms:created>
  <dcterms:modified xsi:type="dcterms:W3CDTF">2026-09-09T08:14:27Z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0x0101007B03F47929AF024F81CF650C2EB29BF4</vt:lpwstr>
  </property>
</Properties>
</file>